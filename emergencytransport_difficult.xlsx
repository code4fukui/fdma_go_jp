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W-119_消防庁HP更新\03_支給資材・原稿\JOB050418-1\ＪＯＢ050418-1\アップ用\"/>
    </mc:Choice>
  </mc:AlternateContent>
  <bookViews>
    <workbookView xWindow="0" yWindow="0" windowWidth="19965" windowHeight="121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'うちコロナ疑い事案（今回）'!$A$1:$DF$67</definedName>
    <definedName name="_xlnm.Print_Area" localSheetId="3">'うち非コロナ疑い事案（今回）'!$A$1:$DF$67</definedName>
    <definedName name="_xlnm.Print_Area" localSheetId="0">'搬送困難事案（今回）'!$A$1:$FF$65</definedName>
    <definedName name="_xlnm.Print_Area" localSheetId="1">'搬送困難事案（前年同期）'!$A$1:$FF$65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E58" i="45" l="1"/>
  <c r="DE58" i="44"/>
  <c r="FE58" i="43"/>
  <c r="FE58" i="42"/>
  <c r="DD58" i="45" l="1"/>
  <c r="DD58" i="44"/>
  <c r="FD58" i="43"/>
  <c r="FD58" i="42" l="1"/>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<sst xmlns="http://schemas.openxmlformats.org/spreadsheetml/2006/main" count="980" uniqueCount="446">
  <si>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</si>
  <si>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</si>
  <si>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</si>
  <si>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</si>
  <si>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</si>
  <si>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</si>
  <si>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</si>
  <si>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</si>
  <si>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</si>
  <si>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</si>
  <si>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</si>
  <si>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</si>
  <si>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</si>
  <si>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</si>
  <si>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</si>
  <si>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</si>
  <si>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</si>
  <si>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</si>
  <si>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</si>
  <si>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</si>
  <si>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</si>
  <si>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</si>
  <si>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</si>
  <si>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</si>
  <si>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</si>
  <si>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</si>
  <si>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</si>
  <si>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</si>
  <si>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</si>
  <si>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</si>
  <si>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</si>
  <si>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</si>
  <si>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</si>
  <si>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</si>
  <si>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</si>
  <si>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</si>
  <si>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</si>
  <si>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</si>
  <si>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</si>
  <si>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</si>
  <si>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</si>
  <si>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</si>
  <si>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</si>
  <si>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</si>
  <si>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</si>
  <si>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</si>
  <si>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</si>
  <si>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</si>
  <si>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</si>
  <si>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</si>
  <si>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</si>
  <si>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</si>
  <si>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</si>
  <si>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</si>
  <si>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</si>
  <si>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</si>
  <si>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</si>
  <si>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</si>
  <si>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</si>
  <si>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</si>
  <si>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</si>
  <si>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</si>
  <si>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</si>
  <si>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</si>
  <si>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</si>
  <si>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</si>
  <si>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</si>
  <si>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</si>
  <si>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</si>
  <si>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</si>
  <si>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</si>
  <si>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</si>
  <si>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</si>
  <si>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</si>
  <si>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</si>
  <si>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</si>
  <si>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</si>
  <si>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</si>
  <si>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</si>
  <si>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</si>
  <si>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</si>
  <si>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</si>
  <si>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</si>
  <si>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</si>
  <si>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</si>
  <si>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</si>
  <si>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</si>
  <si>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</si>
  <si>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</si>
  <si>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</si>
  <si>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</si>
  <si>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</si>
  <si>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</si>
  <si>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</si>
  <si>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</si>
  <si>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</si>
  <si>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</si>
  <si>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</si>
  <si>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</si>
  <si>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</si>
  <si>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</si>
  <si>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</si>
  <si>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</si>
  <si>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</si>
  <si>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</si>
  <si>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</si>
  <si>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</si>
  <si>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</si>
  <si>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</si>
  <si>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</si>
  <si>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</si>
  <si>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</si>
  <si>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</si>
  <si>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</si>
  <si>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</si>
  <si>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</si>
  <si>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</si>
  <si>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</si>
  <si>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</si>
  <si>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</si>
  <si>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</si>
  <si>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</si>
  <si>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</si>
  <si>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</si>
  <si>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</si>
  <si>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</si>
  <si>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</si>
  <si>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</si>
  <si>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</si>
  <si>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</si>
  <si>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</si>
  <si>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</si>
  <si>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</si>
  <si>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</si>
  <si>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</si>
  <si>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</si>
  <si>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</si>
  <si>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</si>
  <si>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</si>
  <si>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</si>
  <si>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</si>
  <si>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</si>
  <si>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</si>
  <si>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</si>
  <si>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</si>
  <si>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</si>
  <si>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</si>
  <si>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</si>
  <si>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</si>
  <si>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</si>
  <si>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</si>
  <si>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</si>
  <si>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</si>
  <si>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</si>
  <si>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</si>
  <si>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</si>
  <si>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</si>
  <si>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</si>
  <si>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</si>
  <si>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</si>
  <si>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</si>
  <si>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</si>
  <si>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</si>
  <si>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</si>
  <si>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</si>
  <si>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</si>
  <si>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</si>
  <si>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</si>
  <si>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</si>
  <si>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</si>
  <si>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</si>
  <si>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</si>
  <si>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</si>
  <si>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</si>
  <si>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</si>
  <si>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</si>
  <si>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</si>
  <si>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</si>
  <si>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</si>
  <si>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</si>
  <si>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</si>
  <si>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</si>
  <si>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</si>
  <si>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</si>
  <si>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</si>
  <si>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</si>
  <si>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</si>
  <si>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</si>
  <si>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</si>
  <si>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</si>
  <si>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</si>
  <si>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</si>
  <si>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</si>
  <si>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</si>
  <si>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</si>
  <si>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</si>
  <si>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</si>
  <si>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</si>
  <si>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</si>
  <si>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</si>
  <si>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</si>
  <si>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</si>
  <si>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</si>
  <si>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</si>
  <si>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</si>
  <si>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</si>
  <si>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</si>
  <si>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</si>
  <si>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</si>
  <si>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</si>
  <si>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</si>
  <si>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</si>
  <si>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</si>
  <si>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</si>
  <si>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</si>
  <si>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</si>
  <si>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</si>
  <si>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</si>
  <si>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</si>
  <si>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</si>
  <si>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</si>
  <si>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</si>
  <si>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</si>
  <si>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</si>
  <si>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</si>
  <si>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</si>
  <si>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</si>
  <si>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</si>
  <si>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</si>
  <si>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</si>
  <si>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</si>
  <si>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</si>
  <si>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</si>
  <si>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</si>
  <si>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</si>
  <si>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</si>
  <si>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</si>
  <si>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</si>
  <si>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</si>
  <si>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</si>
  <si>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</si>
  <si>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</si>
  <si>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</si>
  <si>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</si>
  <si>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</si>
  <si>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</si>
  <si>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</si>
  <si>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</si>
  <si>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</si>
  <si>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</si>
  <si>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</si>
  <si>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</si>
  <si>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</si>
  <si>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</si>
  <si>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</si>
  <si>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</si>
  <si>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</si>
  <si>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</si>
  <si>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</si>
  <si>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</si>
  <si>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</si>
  <si>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</si>
  <si>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</si>
  <si>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</si>
  <si>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</si>
  <si>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</si>
  <si>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</si>
  <si>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</si>
  <si>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</si>
  <si>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</si>
  <si>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</si>
  <si>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</si>
  <si>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</si>
  <si>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</si>
  <si>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</si>
  <si>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</si>
  <si>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</si>
  <si>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</si>
  <si>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</si>
  <si>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</si>
  <si>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</si>
  <si>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</si>
  <si>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</si>
  <si>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</si>
  <si>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</si>
  <si>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</si>
  <si>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</si>
  <si>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</si>
  <si>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</si>
  <si>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</si>
  <si>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</si>
  <si>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</si>
  <si>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</si>
  <si>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</si>
  <si>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</si>
  <si>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</si>
  <si>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</si>
  <si>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</si>
  <si>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</si>
  <si>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</si>
  <si>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</si>
  <si>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</si>
  <si>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</si>
  <si>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</si>
  <si>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</si>
  <si>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</si>
  <si>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</si>
  <si>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</si>
  <si>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</si>
  <si>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</si>
  <si>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</si>
  <si>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</si>
  <si>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</si>
  <si>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</si>
  <si>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</si>
  <si>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</si>
  <si>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</si>
  <si>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</si>
  <si>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</si>
  <si>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</si>
  <si>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</si>
  <si>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</si>
  <si>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</si>
  <si>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</si>
  <si>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</si>
  <si>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</si>
  <si>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</si>
  <si>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</si>
  <si>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</si>
  <si>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</si>
  <si>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</si>
  <si>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</si>
  <si>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</si>
  <si>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</si>
  <si>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</si>
  <si>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</si>
  <si>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</si>
  <si>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</si>
  <si>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</si>
  <si>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</si>
  <si>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</si>
  <si>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</si>
  <si>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</si>
  <si>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</si>
  <si>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</si>
  <si>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</si>
  <si>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</si>
  <si>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</si>
  <si>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</si>
  <si>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</si>
  <si>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</si>
  <si>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</si>
  <si>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</si>
  <si>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</si>
  <si>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</si>
  <si>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</si>
  <si>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</si>
  <si>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</si>
  <si>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</si>
  <si>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</si>
  <si>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</si>
  <si>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</si>
  <si>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</si>
  <si>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</si>
  <si>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</si>
  <si>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</si>
  <si>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</si>
  <si>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</si>
  <si>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</si>
  <si>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</si>
  <si>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</si>
  <si>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</si>
  <si>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</si>
  <si>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</si>
  <si>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</si>
  <si>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</si>
  <si>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</si>
  <si>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</si>
  <si>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</si>
  <si>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</si>
  <si>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</si>
  <si>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</si>
  <si>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</si>
  <si>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</si>
  <si>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</si>
  <si>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</si>
  <si>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</si>
  <si>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</si>
  <si>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</si>
  <si>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</si>
  <si>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</si>
  <si>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</si>
  <si>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</si>
  <si>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</si>
  <si>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</si>
  <si>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</si>
  <si>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</si>
  <si>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</si>
  <si>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</si>
  <si>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</si>
  <si>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</si>
  <si>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</si>
  <si>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</si>
  <si>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</si>
  <si>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</si>
  <si>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</si>
  <si>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</si>
  <si>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</si>
  <si>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</si>
  <si>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</si>
  <si>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</si>
  <si>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</si>
  <si>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</si>
  <si>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</si>
  <si>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</si>
  <si>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</si>
  <si>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</si>
  <si>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</si>
  <si>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</si>
  <si>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</si>
  <si>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</si>
  <si>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</si>
  <si>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</si>
  <si>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</si>
  <si>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</si>
  <si>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</si>
  <si>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</si>
  <si>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</si>
  <si>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</si>
  <si>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</si>
  <si>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</si>
  <si>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</si>
  <si>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</si>
  <si>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</si>
  <si>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</si>
  <si>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</si>
  <si>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</si>
  <si>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</si>
  <si>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</si>
  <si>
    <t>3/28(月)～
4/3(日)分
【3月第5週
4月第1週】</t>
    <phoneticPr fontId="2"/>
  </si>
  <si>
    <t>3/27(月)～
4/2(日)分
【3月第5週
4月第1週】</t>
    <phoneticPr fontId="2"/>
  </si>
  <si>
    <t>4/3(月)～
4/9(日)分
【4月第2週】</t>
    <phoneticPr fontId="2"/>
  </si>
  <si>
    <t>4/4(月)～
4/10(日)分
【4月第2週】</t>
    <phoneticPr fontId="2"/>
  </si>
  <si>
    <t>4/3(月)～
4/9(日)分
【4月第2週】</t>
    <phoneticPr fontId="2"/>
  </si>
  <si>
    <t>4/10(月)～
4/16(日)分
【4月第3週】</t>
    <phoneticPr fontId="2"/>
  </si>
  <si>
    <t>4/11(月)～
4/17(日)分
【4月第3週】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</si>
</sst>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9">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19" fillId="0" borderId="1" xfId="0" applyFont="1" applyBorder="1" applyAlignment="1">
      <alignment horizontal="center" vertical="center"/>
    </xf>
    <xf numFmtId="0" fontId="12" fillId="0" borderId="1" xfId="0" applyFont="1" applyBorder="1" applyAlignment="1">
      <alignment horizontal="center" vertical="center"/>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20" fillId="0" borderId="2"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vertical="center"/>
    </xf>
    <xf numFmtId="0" fontId="20" fillId="0" borderId="8" xfId="0" applyFont="1" applyFill="1" applyBorder="1" applyAlignment="1">
      <alignment horizontal="center" vertical="center" wrapText="1" shrinkToFit="1"/>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2"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2" xfId="0" applyFont="1" applyBorder="1" applyAlignment="1">
      <alignment horizontal="center" vertical="center"/>
    </xf>
    <xf numFmtId="0" fontId="20" fillId="0" borderId="8" xfId="0" applyFont="1" applyBorder="1" applyAlignment="1">
      <alignment horizontal="center" vertical="center" wrapText="1"/>
    </xf>
    <xf numFmtId="0" fontId="20" fillId="0" borderId="1" xfId="0" applyFont="1" applyFill="1" applyBorder="1" applyAlignment="1">
      <alignment horizontal="center" vertical="center" wrapText="1"/>
    </xf>
    <xf numFmtId="0" fontId="0" fillId="0" borderId="7"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29">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F61"/>
  <sheetViews>
    <sheetView tabSelected="1" view="pageBreakPreview" zoomScale="80" zoomScaleNormal="70" zoomScaleSheetLayoutView="80" workbookViewId="0">
      <pane xSplit="3" ySplit="5" topLeftCell="EV6" activePane="bottomRight" state="frozen"/>
      <selection pane="topRight" activeCell="D1" sqref="D1"/>
      <selection pane="bottomLeft" activeCell="A5" sqref="A5"/>
      <selection pane="bottomRight" activeCell="FF4" sqref="FF4:FF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62" width="10.875" style="1" customWidth="1"/>
    <col min="163" max="16384" width="8.625" style="1"/>
  </cols>
  <sheetData>
    <row r="1" spans="1:162"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t="s">
        <v>290</v>
      </c>
    </row>
    <row r="2" spans="1:162" ht="33" x14ac:dyDescent="0.4">
      <c r="B2" s="65"/>
      <c r="C2" s="66"/>
      <c r="D2" s="49" t="s">
        <v>153</v>
      </c>
      <c r="E2" s="50"/>
      <c r="F2" s="50"/>
      <c r="G2" s="50"/>
      <c r="H2" s="50"/>
      <c r="I2" s="50"/>
      <c r="J2" s="50"/>
      <c r="K2" s="50"/>
      <c r="L2" s="50"/>
      <c r="M2" s="50"/>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50"/>
      <c r="BD2" s="50" t="s">
        <v>320</v>
      </c>
      <c r="BE2" s="50"/>
      <c r="BF2" s="50"/>
      <c r="BG2" s="50"/>
      <c r="BH2" s="50"/>
      <c r="BI2" s="50"/>
      <c r="BJ2" s="50"/>
      <c r="BK2" s="50"/>
      <c r="BL2" s="50"/>
      <c r="BM2" s="50"/>
      <c r="BN2" s="50"/>
      <c r="BO2" s="50"/>
      <c r="BP2" s="50"/>
      <c r="BQ2" s="50"/>
      <c r="BR2" s="50"/>
      <c r="BS2" s="50"/>
      <c r="BT2" s="50"/>
      <c r="BU2" s="50"/>
      <c r="BV2" s="50"/>
      <c r="BW2" s="50"/>
      <c r="BX2" s="50"/>
      <c r="BY2" s="50"/>
      <c r="BZ2" s="50"/>
      <c r="CA2" s="50"/>
      <c r="CB2" s="50"/>
      <c r="CC2" s="50"/>
      <c r="CD2" s="50"/>
      <c r="CE2" s="50"/>
      <c r="CF2" s="50"/>
      <c r="CG2" s="50"/>
      <c r="CH2" s="50"/>
      <c r="CI2" s="50"/>
      <c r="CJ2" s="50"/>
      <c r="CK2" s="50"/>
      <c r="CL2" s="50"/>
      <c r="CM2" s="50"/>
      <c r="CN2" s="50"/>
      <c r="CO2" s="50"/>
      <c r="CP2" s="50"/>
      <c r="CQ2" s="50"/>
      <c r="CR2" s="50"/>
      <c r="CS2" s="50"/>
      <c r="CT2" s="50"/>
      <c r="CU2" s="50"/>
      <c r="CV2" s="50"/>
      <c r="CW2" s="50"/>
      <c r="CX2" s="50"/>
      <c r="CY2" s="50"/>
      <c r="CZ2" s="50"/>
      <c r="DA2" s="50"/>
      <c r="DB2" s="50"/>
      <c r="DC2" s="50"/>
      <c r="DD2" s="50"/>
      <c r="DE2" s="45" t="s">
        <v>320</v>
      </c>
      <c r="DF2" s="45"/>
      <c r="DG2" s="45"/>
      <c r="DH2" s="45"/>
      <c r="DI2" s="45"/>
      <c r="DJ2" s="45"/>
      <c r="DK2" s="45"/>
      <c r="DL2" s="45"/>
      <c r="DM2" s="45"/>
      <c r="DN2" s="45"/>
      <c r="DO2" s="45"/>
      <c r="DP2" s="45"/>
      <c r="DQ2" s="45"/>
      <c r="DR2" s="45"/>
      <c r="DS2" s="45"/>
      <c r="DT2" s="45"/>
      <c r="DU2" s="45"/>
      <c r="DV2" s="45"/>
      <c r="DW2" s="45"/>
      <c r="DX2" s="45"/>
      <c r="DY2" s="45"/>
      <c r="DZ2" s="45"/>
      <c r="EA2" s="45"/>
      <c r="EB2" s="45"/>
      <c r="EC2" s="45"/>
      <c r="ED2" s="45"/>
      <c r="EE2" s="45"/>
      <c r="EF2" s="45"/>
      <c r="EG2" s="45"/>
      <c r="EH2" s="45"/>
      <c r="EI2" s="45"/>
      <c r="EJ2" s="45"/>
      <c r="EK2" s="45"/>
      <c r="EL2" s="45"/>
      <c r="EM2" s="45"/>
      <c r="EN2" s="45"/>
      <c r="EO2" s="45"/>
      <c r="EP2" s="45"/>
      <c r="EQ2" s="45"/>
      <c r="ER2" s="45"/>
      <c r="ES2" s="45"/>
      <c r="ET2" s="45"/>
      <c r="EU2" s="45"/>
      <c r="EV2" s="45"/>
      <c r="EW2" s="45"/>
      <c r="EX2" s="45"/>
      <c r="EY2" s="45"/>
      <c r="EZ2" s="45"/>
      <c r="FA2" s="45"/>
      <c r="FB2" s="45"/>
      <c r="FC2" s="45"/>
      <c r="FD2" s="45"/>
      <c r="FE2" s="45"/>
      <c r="FF2" s="45"/>
    </row>
    <row r="3" spans="1:162" ht="27.95" customHeight="1" x14ac:dyDescent="0.4">
      <c r="B3" s="67"/>
      <c r="C3" s="68"/>
      <c r="D3" s="46" t="s">
        <v>282</v>
      </c>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56" t="s">
        <v>216</v>
      </c>
      <c r="AS3" s="57"/>
      <c r="AT3" s="57"/>
      <c r="AU3" s="57"/>
      <c r="AV3" s="57"/>
      <c r="AW3" s="57"/>
      <c r="AX3" s="57"/>
      <c r="AY3" s="57"/>
      <c r="AZ3" s="57"/>
      <c r="BA3" s="57"/>
      <c r="BB3" s="57"/>
      <c r="BC3" s="57"/>
      <c r="BD3" s="57" t="s">
        <v>216</v>
      </c>
      <c r="BE3" s="57"/>
      <c r="BF3" s="57"/>
      <c r="BG3" s="57"/>
      <c r="BH3" s="57"/>
      <c r="BI3" s="57"/>
      <c r="BJ3" s="57"/>
      <c r="BK3" s="57"/>
      <c r="BL3" s="57"/>
      <c r="BM3" s="57"/>
      <c r="BN3" s="57"/>
      <c r="BO3" s="57"/>
      <c r="BP3" s="57"/>
      <c r="BQ3" s="57"/>
      <c r="BR3" s="57"/>
      <c r="BS3" s="57"/>
      <c r="BT3" s="57"/>
      <c r="BU3" s="57"/>
      <c r="BV3" s="57"/>
      <c r="BW3" s="57"/>
      <c r="BX3" s="57"/>
      <c r="BY3" s="57"/>
      <c r="BZ3" s="57"/>
      <c r="CA3" s="57"/>
      <c r="CB3" s="57"/>
      <c r="CC3" s="57"/>
      <c r="CD3" s="57"/>
      <c r="CE3" s="57"/>
      <c r="CF3" s="57"/>
      <c r="CG3" s="57"/>
      <c r="CH3" s="57"/>
      <c r="CI3" s="57"/>
      <c r="CJ3" s="57"/>
      <c r="CK3" s="57"/>
      <c r="CL3" s="57"/>
      <c r="CM3" s="57"/>
      <c r="CN3" s="57"/>
      <c r="CO3" s="57"/>
      <c r="CP3" s="57"/>
      <c r="CQ3" s="71"/>
      <c r="CR3" s="46" t="s">
        <v>278</v>
      </c>
      <c r="CS3" s="46"/>
      <c r="CT3" s="46"/>
      <c r="CU3" s="46"/>
      <c r="CV3" s="46"/>
      <c r="CW3" s="46"/>
      <c r="CX3" s="46"/>
      <c r="CY3" s="46"/>
      <c r="CZ3" s="46"/>
      <c r="DA3" s="46"/>
      <c r="DB3" s="46"/>
      <c r="DC3" s="46"/>
      <c r="DD3" s="56"/>
      <c r="DE3" s="46" t="s">
        <v>278</v>
      </c>
      <c r="DF3" s="46"/>
      <c r="DG3" s="46"/>
      <c r="DH3" s="46"/>
      <c r="DI3" s="46"/>
      <c r="DJ3" s="46"/>
      <c r="DK3" s="46"/>
      <c r="DL3" s="46"/>
      <c r="DM3" s="46"/>
      <c r="DN3" s="46"/>
      <c r="DO3" s="46"/>
      <c r="DP3" s="46"/>
      <c r="DQ3" s="46"/>
      <c r="DR3" s="46"/>
      <c r="DS3" s="46"/>
      <c r="DT3" s="46"/>
      <c r="DU3" s="46"/>
      <c r="DV3" s="46"/>
      <c r="DW3" s="46"/>
      <c r="DX3" s="46"/>
      <c r="DY3" s="46"/>
      <c r="DZ3" s="46"/>
      <c r="EA3" s="46"/>
      <c r="EB3" s="46"/>
      <c r="EC3" s="46"/>
      <c r="ED3" s="46"/>
      <c r="EE3" s="46"/>
      <c r="EF3" s="46"/>
      <c r="EG3" s="46"/>
      <c r="EH3" s="46"/>
      <c r="EI3" s="46"/>
      <c r="EJ3" s="46"/>
      <c r="EK3" s="46"/>
      <c r="EL3" s="46"/>
      <c r="EM3" s="46"/>
      <c r="EN3" s="46"/>
      <c r="EO3" s="46"/>
      <c r="EP3" s="46"/>
      <c r="EQ3" s="46"/>
      <c r="ER3" s="46" t="s">
        <v>415</v>
      </c>
      <c r="ES3" s="46"/>
      <c r="ET3" s="46"/>
      <c r="EU3" s="46"/>
      <c r="EV3" s="46"/>
      <c r="EW3" s="46"/>
      <c r="EX3" s="46"/>
      <c r="EY3" s="46"/>
      <c r="EZ3" s="46"/>
      <c r="FA3" s="46"/>
      <c r="FB3" s="46"/>
      <c r="FC3" s="46"/>
      <c r="FD3" s="46"/>
      <c r="FE3" s="46"/>
      <c r="FF3" s="46"/>
    </row>
    <row r="4" spans="1:162" ht="20.45" customHeight="1" x14ac:dyDescent="0.4">
      <c r="B4" s="69" t="s">
        <v>0</v>
      </c>
      <c r="C4" s="63" t="s">
        <v>1</v>
      </c>
      <c r="D4" s="47" t="s">
        <v>149</v>
      </c>
      <c r="E4" s="47" t="s">
        <v>150</v>
      </c>
      <c r="F4" s="47" t="s">
        <v>151</v>
      </c>
      <c r="G4" s="47" t="s">
        <v>152</v>
      </c>
      <c r="H4" s="47" t="s">
        <v>148</v>
      </c>
      <c r="I4" s="47" t="s">
        <v>100</v>
      </c>
      <c r="J4" s="47" t="s">
        <v>101</v>
      </c>
      <c r="K4" s="47" t="s">
        <v>102</v>
      </c>
      <c r="L4" s="47" t="s">
        <v>103</v>
      </c>
      <c r="M4" s="47" t="s">
        <v>104</v>
      </c>
      <c r="N4" s="47" t="s">
        <v>105</v>
      </c>
      <c r="O4" s="47" t="s">
        <v>106</v>
      </c>
      <c r="P4" s="47" t="s">
        <v>110</v>
      </c>
      <c r="Q4" s="47" t="s">
        <v>147</v>
      </c>
      <c r="R4" s="60" t="s">
        <v>107</v>
      </c>
      <c r="S4" s="47" t="s">
        <v>108</v>
      </c>
      <c r="T4" s="47" t="s">
        <v>109</v>
      </c>
      <c r="U4" s="60" t="s">
        <v>146</v>
      </c>
      <c r="V4" s="60" t="s">
        <v>111</v>
      </c>
      <c r="W4" s="60" t="s">
        <v>112</v>
      </c>
      <c r="X4" s="60" t="s">
        <v>113</v>
      </c>
      <c r="Y4" s="60" t="s">
        <v>114</v>
      </c>
      <c r="Z4" s="60" t="s">
        <v>145</v>
      </c>
      <c r="AA4" s="47" t="s">
        <v>115</v>
      </c>
      <c r="AB4" s="47" t="s">
        <v>116</v>
      </c>
      <c r="AC4" s="47" t="s">
        <v>117</v>
      </c>
      <c r="AD4" s="47" t="s">
        <v>144</v>
      </c>
      <c r="AE4" s="47" t="s">
        <v>139</v>
      </c>
      <c r="AF4" s="47" t="s">
        <v>118</v>
      </c>
      <c r="AG4" s="47" t="s">
        <v>119</v>
      </c>
      <c r="AH4" s="47" t="s">
        <v>141</v>
      </c>
      <c r="AI4" s="47" t="s">
        <v>120</v>
      </c>
      <c r="AJ4" s="47" t="s">
        <v>121</v>
      </c>
      <c r="AK4" s="47" t="s">
        <v>122</v>
      </c>
      <c r="AL4" s="47" t="s">
        <v>123</v>
      </c>
      <c r="AM4" s="47" t="s">
        <v>143</v>
      </c>
      <c r="AN4" s="47" t="s">
        <v>124</v>
      </c>
      <c r="AO4" s="47" t="s">
        <v>125</v>
      </c>
      <c r="AP4" s="47" t="s">
        <v>126</v>
      </c>
      <c r="AQ4" s="47" t="s">
        <v>142</v>
      </c>
      <c r="AR4" s="52" t="s">
        <v>127</v>
      </c>
      <c r="AS4" s="52" t="s">
        <v>128</v>
      </c>
      <c r="AT4" s="52" t="s">
        <v>129</v>
      </c>
      <c r="AU4" s="52" t="s">
        <v>130</v>
      </c>
      <c r="AV4" s="52" t="s">
        <v>131</v>
      </c>
      <c r="AW4" s="52" t="s">
        <v>132</v>
      </c>
      <c r="AX4" s="52" t="s">
        <v>133</v>
      </c>
      <c r="AY4" s="52" t="s">
        <v>134</v>
      </c>
      <c r="AZ4" s="52" t="s">
        <v>135</v>
      </c>
      <c r="BA4" s="52" t="s">
        <v>136</v>
      </c>
      <c r="BB4" s="52" t="s">
        <v>137</v>
      </c>
      <c r="BC4" s="52" t="s">
        <v>138</v>
      </c>
      <c r="BD4" s="48" t="s">
        <v>245</v>
      </c>
      <c r="BE4" s="48" t="s">
        <v>206</v>
      </c>
      <c r="BF4" s="48" t="s">
        <v>205</v>
      </c>
      <c r="BG4" s="48" t="s">
        <v>207</v>
      </c>
      <c r="BH4" s="48" t="s">
        <v>244</v>
      </c>
      <c r="BI4" s="48" t="s">
        <v>208</v>
      </c>
      <c r="BJ4" s="48" t="s">
        <v>209</v>
      </c>
      <c r="BK4" s="48" t="s">
        <v>210</v>
      </c>
      <c r="BL4" s="53" t="s">
        <v>211</v>
      </c>
      <c r="BM4" s="53" t="s">
        <v>243</v>
      </c>
      <c r="BN4" s="48" t="s">
        <v>212</v>
      </c>
      <c r="BO4" s="48" t="s">
        <v>213</v>
      </c>
      <c r="BP4" s="48" t="s">
        <v>214</v>
      </c>
      <c r="BQ4" s="48" t="s">
        <v>215</v>
      </c>
      <c r="BR4" s="48" t="s">
        <v>218</v>
      </c>
      <c r="BS4" s="48" t="s">
        <v>219</v>
      </c>
      <c r="BT4" s="48" t="s">
        <v>220</v>
      </c>
      <c r="BU4" s="53" t="s">
        <v>221</v>
      </c>
      <c r="BV4" s="53" t="s">
        <v>222</v>
      </c>
      <c r="BW4" s="53" t="s">
        <v>223</v>
      </c>
      <c r="BX4" s="53" t="s">
        <v>224</v>
      </c>
      <c r="BY4" s="53" t="s">
        <v>225</v>
      </c>
      <c r="BZ4" s="48" t="s">
        <v>226</v>
      </c>
      <c r="CA4" s="48" t="s">
        <v>227</v>
      </c>
      <c r="CB4" s="48" t="s">
        <v>228</v>
      </c>
      <c r="CC4" s="48" t="s">
        <v>229</v>
      </c>
      <c r="CD4" s="48" t="s">
        <v>230</v>
      </c>
      <c r="CE4" s="55" t="s">
        <v>252</v>
      </c>
      <c r="CF4" s="55" t="s">
        <v>254</v>
      </c>
      <c r="CG4" s="55" t="s">
        <v>256</v>
      </c>
      <c r="CH4" s="55" t="s">
        <v>258</v>
      </c>
      <c r="CI4" s="55" t="s">
        <v>260</v>
      </c>
      <c r="CJ4" s="55" t="s">
        <v>262</v>
      </c>
      <c r="CK4" s="55" t="s">
        <v>264</v>
      </c>
      <c r="CL4" s="55" t="s">
        <v>266</v>
      </c>
      <c r="CM4" s="55" t="s">
        <v>268</v>
      </c>
      <c r="CN4" s="55" t="s">
        <v>270</v>
      </c>
      <c r="CO4" s="55" t="s">
        <v>272</v>
      </c>
      <c r="CP4" s="55" t="s">
        <v>274</v>
      </c>
      <c r="CQ4" s="55" t="s">
        <v>276</v>
      </c>
      <c r="CR4" s="55" t="s">
        <v>279</v>
      </c>
      <c r="CS4" s="55" t="s">
        <v>284</v>
      </c>
      <c r="CT4" s="55" t="s">
        <v>286</v>
      </c>
      <c r="CU4" s="55" t="s">
        <v>288</v>
      </c>
      <c r="CV4" s="55" t="s">
        <v>291</v>
      </c>
      <c r="CW4" s="55" t="s">
        <v>292</v>
      </c>
      <c r="CX4" s="55" t="s">
        <v>294</v>
      </c>
      <c r="CY4" s="55" t="s">
        <v>296</v>
      </c>
      <c r="CZ4" s="55" t="s">
        <v>306</v>
      </c>
      <c r="DA4" s="55" t="s">
        <v>299</v>
      </c>
      <c r="DB4" s="55" t="s">
        <v>302</v>
      </c>
      <c r="DC4" s="55" t="s">
        <v>303</v>
      </c>
      <c r="DD4" s="72"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c r="FB4" s="44" t="s">
        <v>435</v>
      </c>
      <c r="FC4" s="44" t="s">
        <v>437</v>
      </c>
      <c r="FD4" s="44" t="s">
        <v>440</v>
      </c>
      <c r="FE4" s="44" t="s">
        <v>441</v>
      </c>
      <c r="FF4" s="44" t="s">
        <v>444</v>
      </c>
    </row>
    <row r="5" spans="1:162" ht="54" customHeight="1" x14ac:dyDescent="0.4">
      <c r="B5" s="70"/>
      <c r="C5" s="64"/>
      <c r="D5" s="48"/>
      <c r="E5" s="48"/>
      <c r="F5" s="48"/>
      <c r="G5" s="48"/>
      <c r="H5" s="48"/>
      <c r="I5" s="48"/>
      <c r="J5" s="48"/>
      <c r="K5" s="48"/>
      <c r="L5" s="48"/>
      <c r="M5" s="48"/>
      <c r="N5" s="48"/>
      <c r="O5" s="48"/>
      <c r="P5" s="48"/>
      <c r="Q5" s="48"/>
      <c r="R5" s="53"/>
      <c r="S5" s="48"/>
      <c r="T5" s="48"/>
      <c r="U5" s="53"/>
      <c r="V5" s="53"/>
      <c r="W5" s="53"/>
      <c r="X5" s="53"/>
      <c r="Y5" s="53"/>
      <c r="Z5" s="53"/>
      <c r="AA5" s="48"/>
      <c r="AB5" s="48"/>
      <c r="AC5" s="48"/>
      <c r="AD5" s="48"/>
      <c r="AE5" s="48"/>
      <c r="AF5" s="48"/>
      <c r="AG5" s="48"/>
      <c r="AH5" s="48"/>
      <c r="AI5" s="48"/>
      <c r="AJ5" s="48"/>
      <c r="AK5" s="48"/>
      <c r="AL5" s="48"/>
      <c r="AM5" s="48"/>
      <c r="AN5" s="48"/>
      <c r="AO5" s="48"/>
      <c r="AP5" s="48"/>
      <c r="AQ5" s="48"/>
      <c r="AR5" s="52"/>
      <c r="AS5" s="52"/>
      <c r="AT5" s="52"/>
      <c r="AU5" s="52"/>
      <c r="AV5" s="52"/>
      <c r="AW5" s="52"/>
      <c r="AX5" s="52"/>
      <c r="AY5" s="52"/>
      <c r="AZ5" s="52"/>
      <c r="BA5" s="52"/>
      <c r="BB5" s="52"/>
      <c r="BC5" s="52"/>
      <c r="BD5" s="52"/>
      <c r="BE5" s="52"/>
      <c r="BF5" s="52"/>
      <c r="BG5" s="52"/>
      <c r="BH5" s="52"/>
      <c r="BI5" s="52"/>
      <c r="BJ5" s="52"/>
      <c r="BK5" s="52"/>
      <c r="BL5" s="54"/>
      <c r="BM5" s="54"/>
      <c r="BN5" s="52"/>
      <c r="BO5" s="52"/>
      <c r="BP5" s="52"/>
      <c r="BQ5" s="52"/>
      <c r="BR5" s="52"/>
      <c r="BS5" s="52"/>
      <c r="BT5" s="52"/>
      <c r="BU5" s="54"/>
      <c r="BV5" s="54"/>
      <c r="BW5" s="54"/>
      <c r="BX5" s="54"/>
      <c r="BY5" s="54"/>
      <c r="BZ5" s="52"/>
      <c r="CA5" s="52"/>
      <c r="CB5" s="52"/>
      <c r="CC5" s="52"/>
      <c r="CD5" s="52"/>
      <c r="CE5" s="51"/>
      <c r="CF5" s="51"/>
      <c r="CG5" s="51"/>
      <c r="CH5" s="51"/>
      <c r="CI5" s="51"/>
      <c r="CJ5" s="51"/>
      <c r="CK5" s="51"/>
      <c r="CL5" s="51"/>
      <c r="CM5" s="51"/>
      <c r="CN5" s="51"/>
      <c r="CO5" s="51"/>
      <c r="CP5" s="51"/>
      <c r="CQ5" s="51"/>
      <c r="CR5" s="51"/>
      <c r="CS5" s="51"/>
      <c r="CT5" s="51"/>
      <c r="CU5" s="51"/>
      <c r="CV5" s="51"/>
      <c r="CW5" s="51"/>
      <c r="CX5" s="51"/>
      <c r="CY5" s="51"/>
      <c r="CZ5" s="51"/>
      <c r="DA5" s="51"/>
      <c r="DB5" s="51"/>
      <c r="DC5" s="51"/>
      <c r="DD5" s="73"/>
      <c r="DE5" s="51"/>
      <c r="DF5" s="51"/>
      <c r="DG5" s="51"/>
      <c r="DH5" s="51"/>
      <c r="DI5" s="51"/>
      <c r="DJ5" s="51"/>
      <c r="DK5" s="51"/>
      <c r="DL5" s="51"/>
      <c r="DM5" s="51"/>
      <c r="DN5" s="51"/>
      <c r="DO5" s="51"/>
      <c r="DP5" s="51"/>
      <c r="DQ5" s="51"/>
      <c r="DR5" s="51"/>
      <c r="DS5" s="51"/>
      <c r="DT5" s="51"/>
      <c r="DU5" s="51"/>
      <c r="DV5" s="51"/>
      <c r="DW5" s="51"/>
      <c r="DX5" s="51"/>
      <c r="DY5" s="51"/>
      <c r="DZ5" s="51"/>
      <c r="EA5" s="51"/>
      <c r="EB5" s="51"/>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c r="FE5" s="44"/>
      <c r="FF5" s="44"/>
    </row>
    <row r="6" spans="1:162"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28">
        <v>117</v>
      </c>
      <c r="FC6" s="28">
        <v>99</v>
      </c>
      <c r="FD6" s="28">
        <v>81</v>
      </c>
      <c r="FE6" s="28">
        <v>77</v>
      </c>
      <c r="FF6" s="28">
        <v>102</v>
      </c>
    </row>
    <row r="7" spans="1:162"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c r="FD7" s="15">
        <v>0</v>
      </c>
      <c r="FE7" s="15">
        <v>1</v>
      </c>
      <c r="FF7" s="15">
        <v>1</v>
      </c>
    </row>
    <row r="8" spans="1:162"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c r="FB8" s="28">
        <v>21</v>
      </c>
      <c r="FC8" s="28">
        <v>17</v>
      </c>
      <c r="FD8" s="28">
        <v>14</v>
      </c>
      <c r="FE8" s="28">
        <v>7</v>
      </c>
      <c r="FF8" s="28">
        <v>12</v>
      </c>
    </row>
    <row r="9" spans="1:162"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c r="FD9" s="15">
        <v>79</v>
      </c>
      <c r="FE9" s="15">
        <v>59</v>
      </c>
      <c r="FF9" s="15">
        <v>59</v>
      </c>
    </row>
    <row r="10" spans="1:16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c r="FD10" s="15">
        <v>0</v>
      </c>
      <c r="FE10" s="15">
        <v>0</v>
      </c>
      <c r="FF10" s="15">
        <v>1</v>
      </c>
    </row>
    <row r="11" spans="1:162"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c r="FD11" s="15">
        <v>17</v>
      </c>
      <c r="FE11" s="15">
        <v>9</v>
      </c>
      <c r="FF11" s="15">
        <v>7</v>
      </c>
    </row>
    <row r="12" spans="1:162"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c r="FD12" s="15">
        <v>3</v>
      </c>
      <c r="FE12" s="15">
        <v>5</v>
      </c>
      <c r="FF12" s="15">
        <v>5</v>
      </c>
    </row>
    <row r="13" spans="1:162"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c r="FD13" s="15">
        <v>25</v>
      </c>
      <c r="FE13" s="15">
        <v>27</v>
      </c>
      <c r="FF13" s="15">
        <v>20</v>
      </c>
    </row>
    <row r="14" spans="1:162"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c r="FD14" s="15">
        <v>20</v>
      </c>
      <c r="FE14" s="15">
        <v>19</v>
      </c>
      <c r="FF14" s="15">
        <v>16</v>
      </c>
    </row>
    <row r="15" spans="1:162"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c r="FD15" s="15">
        <v>1</v>
      </c>
      <c r="FE15" s="15">
        <v>0</v>
      </c>
      <c r="FF15" s="15">
        <v>1</v>
      </c>
    </row>
    <row r="16" spans="1:162"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28">
        <v>102</v>
      </c>
      <c r="FC16" s="28">
        <v>110</v>
      </c>
      <c r="FD16" s="28">
        <v>104</v>
      </c>
      <c r="FE16" s="28">
        <v>104</v>
      </c>
      <c r="FF16" s="28">
        <v>97</v>
      </c>
    </row>
    <row r="17" spans="1:162"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c r="FD17" s="15">
        <v>121</v>
      </c>
      <c r="FE17" s="15">
        <v>128</v>
      </c>
      <c r="FF17" s="15">
        <v>125</v>
      </c>
    </row>
    <row r="18" spans="1:162"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34">
        <v>1597</v>
      </c>
      <c r="FC18" s="34">
        <v>1778</v>
      </c>
      <c r="FD18" s="34">
        <v>1543</v>
      </c>
      <c r="FE18" s="34">
        <v>1332</v>
      </c>
      <c r="FF18" s="34">
        <v>1355</v>
      </c>
    </row>
    <row r="19" spans="1:162" s="4" customFormat="1" ht="39.6" customHeight="1" x14ac:dyDescent="0.4">
      <c r="A19" s="3"/>
      <c r="B19" s="61"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c r="FD19" s="15">
        <v>49</v>
      </c>
      <c r="FE19" s="15">
        <v>41</v>
      </c>
      <c r="FF19" s="15">
        <v>33</v>
      </c>
    </row>
    <row r="20" spans="1:162" s="4" customFormat="1" ht="39.6" customHeight="1" x14ac:dyDescent="0.4">
      <c r="A20" s="3"/>
      <c r="B20" s="61"/>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28">
        <v>115</v>
      </c>
      <c r="FC20" s="28">
        <v>107</v>
      </c>
      <c r="FD20" s="28">
        <v>102</v>
      </c>
      <c r="FE20" s="28">
        <v>61</v>
      </c>
      <c r="FF20" s="28">
        <v>63</v>
      </c>
    </row>
    <row r="21" spans="1:162" s="4" customFormat="1" ht="39.6" customHeight="1" x14ac:dyDescent="0.4">
      <c r="A21" s="3"/>
      <c r="B21" s="61"/>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c r="FD21" s="15">
        <v>28</v>
      </c>
      <c r="FE21" s="15">
        <v>18</v>
      </c>
      <c r="FF21" s="15">
        <v>21</v>
      </c>
    </row>
    <row r="22" spans="1:162"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c r="FD22" s="15">
        <v>2</v>
      </c>
      <c r="FE22" s="15">
        <v>1</v>
      </c>
      <c r="FF22" s="15">
        <v>9</v>
      </c>
    </row>
    <row r="23" spans="1:162"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c r="FD23" s="15">
        <v>0</v>
      </c>
      <c r="FE23" s="15">
        <v>0</v>
      </c>
      <c r="FF23" s="15">
        <v>0</v>
      </c>
    </row>
    <row r="24" spans="1:162"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c r="FD24" s="15">
        <v>8</v>
      </c>
      <c r="FE24" s="15">
        <v>3</v>
      </c>
      <c r="FF24" s="15">
        <v>9</v>
      </c>
    </row>
    <row r="25" spans="1:162"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c r="FD25" s="15">
        <v>1</v>
      </c>
      <c r="FE25" s="15">
        <v>0</v>
      </c>
      <c r="FF25" s="15">
        <v>1</v>
      </c>
    </row>
    <row r="26" spans="1:162"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c r="FD26" s="15">
        <v>10</v>
      </c>
      <c r="FE26" s="15">
        <v>15</v>
      </c>
      <c r="FF26" s="15">
        <v>8</v>
      </c>
    </row>
    <row r="27" spans="1:162"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c r="FD27" s="15">
        <v>0</v>
      </c>
      <c r="FE27" s="15">
        <v>0</v>
      </c>
      <c r="FF27" s="15">
        <v>0</v>
      </c>
    </row>
    <row r="28" spans="1:162"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c r="FD28" s="15">
        <v>2</v>
      </c>
      <c r="FE28" s="15">
        <v>1</v>
      </c>
      <c r="FF28" s="15">
        <v>0</v>
      </c>
    </row>
    <row r="29" spans="1:162" ht="39.6" customHeight="1" x14ac:dyDescent="0.4">
      <c r="B29" s="62"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c r="FD29" s="15">
        <v>0</v>
      </c>
      <c r="FE29" s="15">
        <v>1</v>
      </c>
      <c r="FF29" s="15">
        <v>1</v>
      </c>
    </row>
    <row r="30" spans="1:162" ht="39.6" customHeight="1" x14ac:dyDescent="0.4">
      <c r="B30" s="62"/>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c r="FD30" s="15">
        <v>11</v>
      </c>
      <c r="FE30" s="15">
        <v>12</v>
      </c>
      <c r="FF30" s="15">
        <v>14</v>
      </c>
    </row>
    <row r="31" spans="1:162"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c r="FD31" s="15">
        <v>44</v>
      </c>
      <c r="FE31" s="15">
        <v>36</v>
      </c>
      <c r="FF31" s="15">
        <v>28</v>
      </c>
    </row>
    <row r="32" spans="1:162"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c r="FD32" s="15">
        <v>0</v>
      </c>
      <c r="FE32" s="15">
        <v>0</v>
      </c>
      <c r="FF32" s="15">
        <v>0</v>
      </c>
    </row>
    <row r="33" spans="1:162"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c r="FD33" s="15">
        <v>0</v>
      </c>
      <c r="FE33" s="15">
        <v>0</v>
      </c>
      <c r="FF33" s="15">
        <v>0</v>
      </c>
    </row>
    <row r="34" spans="1:162"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c r="FD34" s="15">
        <v>51</v>
      </c>
      <c r="FE34" s="15">
        <v>45</v>
      </c>
      <c r="FF34" s="15">
        <v>57</v>
      </c>
    </row>
    <row r="35" spans="1:162" s="4" customFormat="1" ht="39.6" customHeight="1" x14ac:dyDescent="0.4">
      <c r="A35" s="3"/>
      <c r="B35" s="61"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c r="FD35" s="15">
        <v>263</v>
      </c>
      <c r="FE35" s="15">
        <v>244</v>
      </c>
      <c r="FF35" s="15">
        <v>243</v>
      </c>
    </row>
    <row r="36" spans="1:162" s="4" customFormat="1" ht="39.6" customHeight="1" x14ac:dyDescent="0.4">
      <c r="B36" s="61"/>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28">
        <v>33</v>
      </c>
      <c r="FC36" s="28">
        <v>24</v>
      </c>
      <c r="FD36" s="28">
        <v>19</v>
      </c>
      <c r="FE36" s="28">
        <v>21</v>
      </c>
      <c r="FF36" s="28">
        <v>16</v>
      </c>
    </row>
    <row r="37" spans="1:162"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c r="FD37" s="15">
        <v>51</v>
      </c>
      <c r="FE37" s="15">
        <v>28</v>
      </c>
      <c r="FF37" s="15">
        <v>36</v>
      </c>
    </row>
    <row r="38" spans="1:162"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c r="FD38" s="15">
        <v>6</v>
      </c>
      <c r="FE38" s="15">
        <v>7</v>
      </c>
      <c r="FF38" s="15">
        <v>6</v>
      </c>
    </row>
    <row r="39" spans="1:162"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c r="FD39" s="15">
        <v>4</v>
      </c>
      <c r="FE39" s="15">
        <v>3</v>
      </c>
      <c r="FF39" s="15">
        <v>4</v>
      </c>
    </row>
    <row r="40" spans="1:162"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c r="FD40" s="15">
        <v>0</v>
      </c>
      <c r="FE40" s="15">
        <v>0</v>
      </c>
      <c r="FF40" s="15">
        <v>0</v>
      </c>
    </row>
    <row r="41" spans="1:162"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c r="FD41" s="15">
        <v>0</v>
      </c>
      <c r="FE41" s="15">
        <v>0</v>
      </c>
      <c r="FF41" s="15">
        <v>0</v>
      </c>
    </row>
    <row r="42" spans="1:162"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c r="FD42" s="15">
        <v>8</v>
      </c>
      <c r="FE42" s="15">
        <v>8</v>
      </c>
      <c r="FF42" s="15">
        <v>8</v>
      </c>
    </row>
    <row r="43" spans="1:162"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c r="FB43" s="28">
        <v>57</v>
      </c>
      <c r="FC43" s="28">
        <v>47</v>
      </c>
      <c r="FD43" s="28">
        <v>37</v>
      </c>
      <c r="FE43" s="28">
        <v>48</v>
      </c>
      <c r="FF43" s="28">
        <v>62</v>
      </c>
    </row>
    <row r="44" spans="1:162"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c r="FD44" s="15">
        <v>4</v>
      </c>
      <c r="FE44" s="15">
        <v>0</v>
      </c>
      <c r="FF44" s="15">
        <v>4</v>
      </c>
    </row>
    <row r="45" spans="1:162"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c r="FD45" s="15">
        <v>18</v>
      </c>
      <c r="FE45" s="15">
        <v>14</v>
      </c>
      <c r="FF45" s="15">
        <v>15</v>
      </c>
    </row>
    <row r="46" spans="1:162"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c r="FD46" s="15">
        <v>21</v>
      </c>
      <c r="FE46" s="15">
        <v>22</v>
      </c>
      <c r="FF46" s="15">
        <v>4</v>
      </c>
    </row>
    <row r="47" spans="1:162"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c r="FD47" s="15">
        <v>0</v>
      </c>
      <c r="FE47" s="15">
        <v>2</v>
      </c>
      <c r="FF47" s="15">
        <v>0</v>
      </c>
    </row>
    <row r="48" spans="1:162"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c r="FD48" s="15">
        <v>20</v>
      </c>
      <c r="FE48" s="15">
        <v>7</v>
      </c>
      <c r="FF48" s="15">
        <v>11</v>
      </c>
    </row>
    <row r="49" spans="1:162" s="4" customFormat="1" ht="39.6" customHeight="1" x14ac:dyDescent="0.4">
      <c r="A49" s="3"/>
      <c r="B49" s="61"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c r="FD49" s="15">
        <v>40</v>
      </c>
      <c r="FE49" s="15">
        <v>24</v>
      </c>
      <c r="FF49" s="15">
        <v>31</v>
      </c>
    </row>
    <row r="50" spans="1:162" s="4" customFormat="1" ht="39.6" customHeight="1" x14ac:dyDescent="0.4">
      <c r="B50" s="61"/>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c r="FD50" s="15">
        <v>11</v>
      </c>
      <c r="FE50" s="15">
        <v>4</v>
      </c>
      <c r="FF50" s="15">
        <v>8</v>
      </c>
    </row>
    <row r="51" spans="1:162"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c r="FD51" s="15">
        <v>8</v>
      </c>
      <c r="FE51" s="15">
        <v>3</v>
      </c>
      <c r="FF51" s="15">
        <v>2</v>
      </c>
    </row>
    <row r="52" spans="1:162"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c r="FD52" s="15">
        <v>13</v>
      </c>
      <c r="FE52" s="15">
        <v>14</v>
      </c>
      <c r="FF52" s="15">
        <v>14</v>
      </c>
    </row>
    <row r="53" spans="1:162"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c r="FD53" s="15">
        <v>37</v>
      </c>
      <c r="FE53" s="15">
        <v>44</v>
      </c>
      <c r="FF53" s="15">
        <v>28</v>
      </c>
    </row>
    <row r="54" spans="1:162"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c r="FD54" s="15">
        <v>6</v>
      </c>
      <c r="FE54" s="15">
        <v>4</v>
      </c>
      <c r="FF54" s="15">
        <v>8</v>
      </c>
    </row>
    <row r="55" spans="1:162"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c r="FD55" s="15">
        <v>16</v>
      </c>
      <c r="FE55" s="15">
        <v>12</v>
      </c>
      <c r="FF55" s="15">
        <v>13</v>
      </c>
    </row>
    <row r="56" spans="1:162"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c r="FD56" s="15">
        <v>1</v>
      </c>
      <c r="FE56" s="15">
        <v>0</v>
      </c>
      <c r="FF56" s="15">
        <v>0</v>
      </c>
    </row>
    <row r="57" spans="1:162"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c r="FD57" s="15">
        <v>2</v>
      </c>
      <c r="FE57" s="15">
        <v>3</v>
      </c>
      <c r="FF57" s="15">
        <v>0</v>
      </c>
    </row>
    <row r="58" spans="1:162"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FD58" si="13">SUM(FC6:FC57)</f>
        <v>3254</v>
      </c>
      <c r="FD58" s="14">
        <f t="shared" si="13"/>
        <v>2901</v>
      </c>
      <c r="FE58" s="14">
        <f t="shared" ref="FE58" si="14">SUM(FE6:FE57)</f>
        <v>2514</v>
      </c>
      <c r="FF58" s="14">
        <v>2558</v>
      </c>
    </row>
    <row r="59" spans="1:16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6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62" ht="39.6" customHeight="1" x14ac:dyDescent="0.4">
      <c r="A61" s="2"/>
      <c r="B61" s="5"/>
      <c r="C61" s="6"/>
      <c r="D61" s="58"/>
      <c r="E61" s="59"/>
      <c r="F61" s="59"/>
      <c r="G61" s="59"/>
      <c r="H61" s="59"/>
      <c r="I61" s="59"/>
      <c r="J61" s="59"/>
      <c r="K61" s="59"/>
      <c r="L61" s="59"/>
      <c r="M61" s="59"/>
      <c r="N61" s="59"/>
      <c r="O61" s="59"/>
      <c r="P61" s="59"/>
      <c r="Q61" s="59"/>
      <c r="R61" s="59"/>
      <c r="S61" s="59"/>
      <c r="T61" s="59"/>
      <c r="U61" s="59"/>
      <c r="V61" s="59"/>
      <c r="W61" s="59"/>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6">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DX4:DX5"/>
    <mergeCell ref="DW4:DW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CX4:CX5"/>
    <mergeCell ref="DG4:DG5"/>
    <mergeCell ref="DE4:DE5"/>
    <mergeCell ref="DC4:DC5"/>
    <mergeCell ref="EX4:EX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BI4:BI5"/>
    <mergeCell ref="DV4:DV5"/>
    <mergeCell ref="BR4:B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AM4:AM5"/>
    <mergeCell ref="CZ4:CZ5"/>
    <mergeCell ref="CT4:CT5"/>
    <mergeCell ref="CQ4:CQ5"/>
    <mergeCell ref="CN4:CN5"/>
    <mergeCell ref="CM4:CM5"/>
    <mergeCell ref="CO4:CO5"/>
    <mergeCell ref="CJ4:CJ5"/>
    <mergeCell ref="D61:W61"/>
    <mergeCell ref="T4:T5"/>
    <mergeCell ref="S4:S5"/>
    <mergeCell ref="Q4:Q5"/>
    <mergeCell ref="R4:R5"/>
    <mergeCell ref="BV4:BV5"/>
    <mergeCell ref="BL4:BL5"/>
    <mergeCell ref="BH4:BH5"/>
    <mergeCell ref="CP4:CP5"/>
    <mergeCell ref="CH4:CH5"/>
    <mergeCell ref="BT4:BT5"/>
    <mergeCell ref="BF4:BF5"/>
    <mergeCell ref="BY4:BY5"/>
    <mergeCell ref="BK4:BK5"/>
    <mergeCell ref="BM4:BM5"/>
    <mergeCell ref="CK4:CK5"/>
    <mergeCell ref="CG4:CG5"/>
    <mergeCell ref="AR3:BC3"/>
    <mergeCell ref="CY4:CY5"/>
    <mergeCell ref="CF4:CF5"/>
    <mergeCell ref="BN4:BN5"/>
    <mergeCell ref="CI4:CI5"/>
    <mergeCell ref="BG4:BG5"/>
    <mergeCell ref="AT4:AT5"/>
    <mergeCell ref="AS4:AS5"/>
    <mergeCell ref="AX4:AX5"/>
    <mergeCell ref="BJ4:BJ5"/>
    <mergeCell ref="BQ4:BQ5"/>
    <mergeCell ref="AR4:AR5"/>
    <mergeCell ref="AV4:AV5"/>
    <mergeCell ref="AW4:AW5"/>
    <mergeCell ref="CD4:CD5"/>
    <mergeCell ref="BP4:BP5"/>
    <mergeCell ref="BE4:BE5"/>
    <mergeCell ref="BO4:BO5"/>
    <mergeCell ref="BX4:BX5"/>
    <mergeCell ref="FF4:FF5"/>
    <mergeCell ref="DE2:FF2"/>
    <mergeCell ref="ER3:FF3"/>
    <mergeCell ref="FE4:FE5"/>
    <mergeCell ref="FD4:FD5"/>
    <mergeCell ref="FC4:FC5"/>
    <mergeCell ref="FB4:FB5"/>
    <mergeCell ref="FA4:FA5"/>
    <mergeCell ref="AN4:AN5"/>
    <mergeCell ref="AP4:AP5"/>
    <mergeCell ref="D2:BC2"/>
    <mergeCell ref="DO4:DO5"/>
    <mergeCell ref="DN4:DN5"/>
    <mergeCell ref="DS4:DS5"/>
    <mergeCell ref="DR4:DR5"/>
    <mergeCell ref="AF4:AF5"/>
    <mergeCell ref="AY4:AY5"/>
    <mergeCell ref="AU4:AU5"/>
    <mergeCell ref="BC4:BC5"/>
    <mergeCell ref="BB4:BB5"/>
    <mergeCell ref="AZ4:AZ5"/>
    <mergeCell ref="BA4:BA5"/>
    <mergeCell ref="BD4:BD5"/>
    <mergeCell ref="BW4:BW5"/>
  </mergeCells>
  <phoneticPr fontId="2"/>
  <conditionalFormatting sqref="DJ6:DN57">
    <cfRule type="containsBlanks" dxfId="28" priority="10">
      <formula>LEN(TRIM(DJ6))=0</formula>
    </cfRule>
  </conditionalFormatting>
  <conditionalFormatting sqref="DO6:DO57">
    <cfRule type="containsBlanks" dxfId="27" priority="9">
      <formula>LEN(TRIM(DO6))=0</formula>
    </cfRule>
  </conditionalFormatting>
  <conditionalFormatting sqref="DP6:EX57 EZ6:EZ57">
    <cfRule type="containsBlanks" dxfId="26" priority="8">
      <formula>LEN(TRIM(DP6))=0</formula>
    </cfRule>
  </conditionalFormatting>
  <conditionalFormatting sqref="EY6:EY57">
    <cfRule type="containsBlanks" dxfId="25" priority="7">
      <formula>LEN(TRIM(EY6))=0</formula>
    </cfRule>
  </conditionalFormatting>
  <conditionalFormatting sqref="FA6:FA57">
    <cfRule type="containsBlanks" dxfId="24" priority="6">
      <formula>LEN(TRIM(FA6))=0</formula>
    </cfRule>
  </conditionalFormatting>
  <conditionalFormatting sqref="FB6:FB57">
    <cfRule type="containsBlanks" dxfId="23" priority="5">
      <formula>LEN(TRIM(FB6))=0</formula>
    </cfRule>
  </conditionalFormatting>
  <conditionalFormatting sqref="FC6:FC57">
    <cfRule type="containsBlanks" dxfId="22" priority="4">
      <formula>LEN(TRIM(FC6))=0</formula>
    </cfRule>
  </conditionalFormatting>
  <conditionalFormatting sqref="FD6:FD57">
    <cfRule type="containsBlanks" dxfId="21" priority="3">
      <formula>LEN(TRIM(FD6))=0</formula>
    </cfRule>
  </conditionalFormatting>
  <conditionalFormatting sqref="FE6:FE57">
    <cfRule type="containsBlanks" dxfId="20" priority="2">
      <formula>LEN(TRIM(FE6))=0</formula>
    </cfRule>
  </conditionalFormatting>
  <conditionalFormatting sqref="FF6:FF57">
    <cfRule type="containsBlanks" dxfId="19" priority="1">
      <formula>LEN(TRIM(FF6))=0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5" manualBreakCount="5">
    <brk id="55" max="64" man="1"/>
    <brk id="99" max="64" man="1"/>
    <brk id="108" max="64" man="1"/>
    <brk id="130"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F58"/>
  <sheetViews>
    <sheetView view="pageBreakPreview" zoomScale="70" zoomScaleNormal="70" zoomScaleSheetLayoutView="70" workbookViewId="0">
      <pane xSplit="3" ySplit="1" topLeftCell="EY26" activePane="bottomRight" state="frozen"/>
      <selection pane="topRight" activeCell="D1" sqref="D1"/>
      <selection pane="bottomLeft" activeCell="A5" sqref="A5"/>
      <selection pane="bottomRight" activeCell="FF57" sqref="FF57"/>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62" width="10.875" style="1" customWidth="1"/>
    <col min="163" max="16384" width="8.625" style="1"/>
  </cols>
  <sheetData>
    <row r="1" spans="2:162" ht="29.1" customHeight="1" x14ac:dyDescent="0.4">
      <c r="BB1" s="77" t="s">
        <v>323</v>
      </c>
      <c r="BC1" s="77"/>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t="s">
        <v>290</v>
      </c>
    </row>
    <row r="2" spans="2:162" ht="32.1" customHeight="1" x14ac:dyDescent="0.4">
      <c r="B2" s="65"/>
      <c r="C2" s="66"/>
      <c r="D2" s="49" t="s">
        <v>240</v>
      </c>
      <c r="E2" s="50"/>
      <c r="F2" s="50"/>
      <c r="G2" s="50"/>
      <c r="H2" s="50"/>
      <c r="I2" s="50"/>
      <c r="J2" s="50"/>
      <c r="K2" s="50"/>
      <c r="L2" s="50"/>
      <c r="M2" s="50"/>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74"/>
      <c r="BD2" s="49" t="s">
        <v>321</v>
      </c>
      <c r="BE2" s="50"/>
      <c r="BF2" s="50"/>
      <c r="BG2" s="50"/>
      <c r="BH2" s="50"/>
      <c r="BI2" s="50"/>
      <c r="BJ2" s="50"/>
      <c r="BK2" s="50"/>
      <c r="BL2" s="50"/>
      <c r="BM2" s="50"/>
      <c r="BN2" s="50"/>
      <c r="BO2" s="50"/>
      <c r="BP2" s="50"/>
      <c r="BQ2" s="50"/>
      <c r="BR2" s="50"/>
      <c r="BS2" s="50"/>
      <c r="BT2" s="50"/>
      <c r="BU2" s="50"/>
      <c r="BV2" s="50"/>
      <c r="BW2" s="50"/>
      <c r="BX2" s="50"/>
      <c r="BY2" s="50"/>
      <c r="BZ2" s="50"/>
      <c r="CA2" s="50"/>
      <c r="CB2" s="50"/>
      <c r="CC2" s="50"/>
      <c r="CD2" s="50"/>
      <c r="CE2" s="50"/>
      <c r="CF2" s="50"/>
      <c r="CG2" s="50"/>
      <c r="CH2" s="50"/>
      <c r="CI2" s="50"/>
      <c r="CJ2" s="50"/>
      <c r="CK2" s="50"/>
      <c r="CL2" s="50"/>
      <c r="CM2" s="50"/>
      <c r="CN2" s="50"/>
      <c r="CO2" s="50"/>
      <c r="CP2" s="50"/>
      <c r="CQ2" s="50"/>
      <c r="CR2" s="50"/>
      <c r="CS2" s="50"/>
      <c r="CT2" s="50"/>
      <c r="CU2" s="50"/>
      <c r="CV2" s="50"/>
      <c r="CW2" s="50"/>
      <c r="CX2" s="50"/>
      <c r="CY2" s="50"/>
      <c r="CZ2" s="50"/>
      <c r="DA2" s="50"/>
      <c r="DB2" s="50"/>
      <c r="DC2" s="74"/>
      <c r="DD2" s="45" t="s">
        <v>321</v>
      </c>
      <c r="DE2" s="45"/>
      <c r="DF2" s="45"/>
      <c r="DG2" s="45"/>
      <c r="DH2" s="45"/>
      <c r="DI2" s="45"/>
      <c r="DJ2" s="45"/>
      <c r="DK2" s="45"/>
      <c r="DL2" s="45"/>
      <c r="DM2" s="45"/>
      <c r="DN2" s="45"/>
      <c r="DO2" s="45"/>
      <c r="DP2" s="45"/>
      <c r="DQ2" s="45"/>
      <c r="DR2" s="45"/>
      <c r="DS2" s="45"/>
      <c r="DT2" s="45"/>
      <c r="DU2" s="45"/>
      <c r="DV2" s="45"/>
      <c r="DW2" s="45"/>
      <c r="DX2" s="45"/>
      <c r="DY2" s="45"/>
      <c r="DZ2" s="45"/>
      <c r="EA2" s="45"/>
      <c r="EB2" s="45"/>
      <c r="EC2" s="45"/>
      <c r="ED2" s="45"/>
      <c r="EE2" s="45"/>
      <c r="EF2" s="45"/>
      <c r="EG2" s="45"/>
      <c r="EH2" s="45"/>
      <c r="EI2" s="45"/>
      <c r="EJ2" s="45"/>
      <c r="EK2" s="45"/>
      <c r="EL2" s="45"/>
      <c r="EM2" s="45"/>
      <c r="EN2" s="45"/>
      <c r="EO2" s="45"/>
      <c r="EP2" s="45"/>
      <c r="EQ2" s="45"/>
      <c r="ER2" s="45"/>
      <c r="ES2" s="45"/>
      <c r="ET2" s="45"/>
      <c r="EU2" s="45"/>
      <c r="EV2" s="45"/>
      <c r="EW2" s="45"/>
      <c r="EX2" s="45"/>
      <c r="EY2" s="45"/>
      <c r="EZ2" s="45"/>
      <c r="FA2" s="45"/>
      <c r="FB2" s="45"/>
      <c r="FC2" s="45"/>
      <c r="FD2" s="45"/>
      <c r="FE2" s="45"/>
      <c r="FF2" s="45"/>
    </row>
    <row r="3" spans="2:162" ht="27.95" customHeight="1" x14ac:dyDescent="0.4">
      <c r="B3" s="67"/>
      <c r="C3" s="68"/>
      <c r="D3" s="56" t="s">
        <v>281</v>
      </c>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c r="AP3" s="57"/>
      <c r="AQ3" s="71"/>
      <c r="AR3" s="56" t="s">
        <v>282</v>
      </c>
      <c r="AS3" s="57"/>
      <c r="AT3" s="57"/>
      <c r="AU3" s="57"/>
      <c r="AV3" s="57"/>
      <c r="AW3" s="57"/>
      <c r="AX3" s="57"/>
      <c r="AY3" s="57"/>
      <c r="AZ3" s="57"/>
      <c r="BA3" s="57"/>
      <c r="BB3" s="57"/>
      <c r="BC3" s="71"/>
      <c r="BD3" s="56" t="s">
        <v>322</v>
      </c>
      <c r="BE3" s="57"/>
      <c r="BF3" s="57"/>
      <c r="BG3" s="57"/>
      <c r="BH3" s="57"/>
      <c r="BI3" s="57"/>
      <c r="BJ3" s="57"/>
      <c r="BK3" s="57"/>
      <c r="BL3" s="57"/>
      <c r="BM3" s="57"/>
      <c r="BN3" s="57"/>
      <c r="BO3" s="57"/>
      <c r="BP3" s="57"/>
      <c r="BQ3" s="57"/>
      <c r="BR3" s="57"/>
      <c r="BS3" s="57"/>
      <c r="BT3" s="57"/>
      <c r="BU3" s="57"/>
      <c r="BV3" s="57"/>
      <c r="BW3" s="57"/>
      <c r="BX3" s="57"/>
      <c r="BY3" s="57"/>
      <c r="BZ3" s="57"/>
      <c r="CA3" s="57"/>
      <c r="CB3" s="57"/>
      <c r="CC3" s="57"/>
      <c r="CD3" s="57"/>
      <c r="CE3" s="57"/>
      <c r="CF3" s="57"/>
      <c r="CG3" s="57"/>
      <c r="CH3" s="57"/>
      <c r="CI3" s="57"/>
      <c r="CJ3" s="57"/>
      <c r="CK3" s="57"/>
      <c r="CL3" s="57"/>
      <c r="CM3" s="57"/>
      <c r="CN3" s="57"/>
      <c r="CO3" s="57"/>
      <c r="CP3" s="57"/>
      <c r="CQ3" s="71"/>
      <c r="CR3" s="56" t="s">
        <v>280</v>
      </c>
      <c r="CS3" s="57"/>
      <c r="CT3" s="57"/>
      <c r="CU3" s="57"/>
      <c r="CV3" s="57"/>
      <c r="CW3" s="57"/>
      <c r="CX3" s="57"/>
      <c r="CY3" s="57"/>
      <c r="CZ3" s="57"/>
      <c r="DA3" s="57"/>
      <c r="DB3" s="57"/>
      <c r="DC3" s="71"/>
      <c r="DD3" s="46" t="s">
        <v>216</v>
      </c>
      <c r="DE3" s="46"/>
      <c r="DF3" s="46"/>
      <c r="DG3" s="46"/>
      <c r="DH3" s="46"/>
      <c r="DI3" s="46"/>
      <c r="DJ3" s="46"/>
      <c r="DK3" s="46"/>
      <c r="DL3" s="46"/>
      <c r="DM3" s="46"/>
      <c r="DN3" s="46"/>
      <c r="DO3" s="46"/>
      <c r="DP3" s="46"/>
      <c r="DQ3" s="46"/>
      <c r="DR3" s="46"/>
      <c r="DS3" s="46"/>
      <c r="DT3" s="46"/>
      <c r="DU3" s="46"/>
      <c r="DV3" s="46"/>
      <c r="DW3" s="46"/>
      <c r="DX3" s="46"/>
      <c r="DY3" s="46"/>
      <c r="DZ3" s="46"/>
      <c r="EA3" s="46"/>
      <c r="EB3" s="46"/>
      <c r="EC3" s="46"/>
      <c r="ED3" s="46"/>
      <c r="EE3" s="46"/>
      <c r="EF3" s="46"/>
      <c r="EG3" s="46"/>
      <c r="EH3" s="46"/>
      <c r="EI3" s="46"/>
      <c r="EJ3" s="46"/>
      <c r="EK3" s="46"/>
      <c r="EL3" s="46"/>
      <c r="EM3" s="46"/>
      <c r="EN3" s="46"/>
      <c r="EO3" s="46"/>
      <c r="EP3" s="46"/>
      <c r="EQ3" s="46"/>
      <c r="ER3" s="46" t="s">
        <v>414</v>
      </c>
      <c r="ES3" s="46"/>
      <c r="ET3" s="46"/>
      <c r="EU3" s="46"/>
      <c r="EV3" s="46"/>
      <c r="EW3" s="46"/>
      <c r="EX3" s="46"/>
      <c r="EY3" s="46"/>
      <c r="EZ3" s="46"/>
      <c r="FA3" s="46"/>
      <c r="FB3" s="46"/>
      <c r="FC3" s="46"/>
      <c r="FD3" s="46"/>
      <c r="FE3" s="46"/>
      <c r="FF3" s="46"/>
    </row>
    <row r="4" spans="2:162" ht="21" customHeight="1" x14ac:dyDescent="0.4">
      <c r="B4" s="69" t="s">
        <v>0</v>
      </c>
      <c r="C4" s="63"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2" t="s">
        <v>196</v>
      </c>
      <c r="S4" s="75" t="s">
        <v>197</v>
      </c>
      <c r="T4" s="75" t="s">
        <v>198</v>
      </c>
      <c r="U4" s="75" t="s">
        <v>158</v>
      </c>
      <c r="V4" s="75" t="s">
        <v>159</v>
      </c>
      <c r="W4" s="75" t="s">
        <v>160</v>
      </c>
      <c r="X4" s="75" t="s">
        <v>161</v>
      </c>
      <c r="Y4" s="78" t="s">
        <v>162</v>
      </c>
      <c r="Z4" s="75" t="s">
        <v>186</v>
      </c>
      <c r="AA4" s="75" t="s">
        <v>163</v>
      </c>
      <c r="AB4" s="75" t="s">
        <v>164</v>
      </c>
      <c r="AC4" s="78" t="s">
        <v>165</v>
      </c>
      <c r="AD4" s="75" t="s">
        <v>166</v>
      </c>
      <c r="AE4" s="75" t="s">
        <v>199</v>
      </c>
      <c r="AF4" s="75" t="s">
        <v>200</v>
      </c>
      <c r="AG4" s="75" t="s">
        <v>201</v>
      </c>
      <c r="AH4" s="75" t="s">
        <v>202</v>
      </c>
      <c r="AI4" s="78" t="s">
        <v>167</v>
      </c>
      <c r="AJ4" s="78" t="s">
        <v>168</v>
      </c>
      <c r="AK4" s="78" t="s">
        <v>169</v>
      </c>
      <c r="AL4" s="78" t="s">
        <v>170</v>
      </c>
      <c r="AM4" s="78" t="s">
        <v>187</v>
      </c>
      <c r="AN4" s="75" t="s">
        <v>171</v>
      </c>
      <c r="AO4" s="78" t="s">
        <v>172</v>
      </c>
      <c r="AP4" s="78" t="s">
        <v>173</v>
      </c>
      <c r="AQ4" s="75" t="s">
        <v>174</v>
      </c>
      <c r="AR4" s="78" t="s">
        <v>175</v>
      </c>
      <c r="AS4" s="75" t="s">
        <v>176</v>
      </c>
      <c r="AT4" s="75" t="s">
        <v>177</v>
      </c>
      <c r="AU4" s="75" t="s">
        <v>178</v>
      </c>
      <c r="AV4" s="75" t="s">
        <v>179</v>
      </c>
      <c r="AW4" s="75" t="s">
        <v>180</v>
      </c>
      <c r="AX4" s="78" t="s">
        <v>203</v>
      </c>
      <c r="AY4" s="78" t="s">
        <v>204</v>
      </c>
      <c r="AZ4" s="75" t="s">
        <v>181</v>
      </c>
      <c r="BA4" s="75" t="s">
        <v>182</v>
      </c>
      <c r="BB4" s="75" t="s">
        <v>183</v>
      </c>
      <c r="BC4" s="78" t="s">
        <v>184</v>
      </c>
      <c r="BD4" s="47" t="s">
        <v>149</v>
      </c>
      <c r="BE4" s="47" t="s">
        <v>150</v>
      </c>
      <c r="BF4" s="47" t="s">
        <v>151</v>
      </c>
      <c r="BG4" s="47" t="s">
        <v>152</v>
      </c>
      <c r="BH4" s="47" t="s">
        <v>148</v>
      </c>
      <c r="BI4" s="47" t="s">
        <v>100</v>
      </c>
      <c r="BJ4" s="47" t="s">
        <v>101</v>
      </c>
      <c r="BK4" s="47" t="s">
        <v>102</v>
      </c>
      <c r="BL4" s="47" t="s">
        <v>103</v>
      </c>
      <c r="BM4" s="47" t="s">
        <v>104</v>
      </c>
      <c r="BN4" s="47" t="s">
        <v>105</v>
      </c>
      <c r="BO4" s="47" t="s">
        <v>106</v>
      </c>
      <c r="BP4" s="47" t="s">
        <v>231</v>
      </c>
      <c r="BQ4" s="47" t="s">
        <v>232</v>
      </c>
      <c r="BR4" s="47" t="s">
        <v>233</v>
      </c>
      <c r="BS4" s="47" t="s">
        <v>234</v>
      </c>
      <c r="BT4" s="47" t="s">
        <v>235</v>
      </c>
      <c r="BU4" s="60" t="s">
        <v>146</v>
      </c>
      <c r="BV4" s="60" t="s">
        <v>111</v>
      </c>
      <c r="BW4" s="60" t="s">
        <v>112</v>
      </c>
      <c r="BX4" s="60" t="s">
        <v>113</v>
      </c>
      <c r="BY4" s="60" t="s">
        <v>114</v>
      </c>
      <c r="BZ4" s="60" t="s">
        <v>145</v>
      </c>
      <c r="CA4" s="47" t="s">
        <v>236</v>
      </c>
      <c r="CB4" s="47" t="s">
        <v>237</v>
      </c>
      <c r="CC4" s="47" t="s">
        <v>238</v>
      </c>
      <c r="CD4" s="47" t="s">
        <v>239</v>
      </c>
      <c r="CE4" s="75" t="s">
        <v>253</v>
      </c>
      <c r="CF4" s="75" t="s">
        <v>255</v>
      </c>
      <c r="CG4" s="75" t="s">
        <v>257</v>
      </c>
      <c r="CH4" s="75" t="s">
        <v>259</v>
      </c>
      <c r="CI4" s="75" t="s">
        <v>261</v>
      </c>
      <c r="CJ4" s="75" t="s">
        <v>263</v>
      </c>
      <c r="CK4" s="75" t="s">
        <v>265</v>
      </c>
      <c r="CL4" s="75" t="s">
        <v>267</v>
      </c>
      <c r="CM4" s="75" t="s">
        <v>269</v>
      </c>
      <c r="CN4" s="75" t="s">
        <v>271</v>
      </c>
      <c r="CO4" s="75" t="s">
        <v>273</v>
      </c>
      <c r="CP4" s="75" t="s">
        <v>275</v>
      </c>
      <c r="CQ4" s="75" t="s">
        <v>277</v>
      </c>
      <c r="CR4" s="75" t="s">
        <v>283</v>
      </c>
      <c r="CS4" s="75" t="s">
        <v>285</v>
      </c>
      <c r="CT4" s="75" t="s">
        <v>287</v>
      </c>
      <c r="CU4" s="75" t="s">
        <v>289</v>
      </c>
      <c r="CV4" s="75" t="s">
        <v>372</v>
      </c>
      <c r="CW4" s="75" t="s">
        <v>293</v>
      </c>
      <c r="CX4" s="75" t="s">
        <v>295</v>
      </c>
      <c r="CY4" s="75" t="s">
        <v>297</v>
      </c>
      <c r="CZ4" s="75" t="s">
        <v>298</v>
      </c>
      <c r="DA4" s="75" t="s">
        <v>300</v>
      </c>
      <c r="DB4" s="75" t="s">
        <v>301</v>
      </c>
      <c r="DC4" s="75" t="s">
        <v>304</v>
      </c>
      <c r="DD4" s="44" t="s">
        <v>307</v>
      </c>
      <c r="DE4" s="44" t="s">
        <v>309</v>
      </c>
      <c r="DF4" s="44" t="s">
        <v>311</v>
      </c>
      <c r="DG4" s="44" t="s">
        <v>313</v>
      </c>
      <c r="DH4" s="44" t="s">
        <v>314</v>
      </c>
      <c r="DI4" s="44" t="s">
        <v>317</v>
      </c>
      <c r="DJ4" s="44" t="s">
        <v>319</v>
      </c>
      <c r="DK4" s="44" t="s">
        <v>327</v>
      </c>
      <c r="DL4" s="44" t="s">
        <v>329</v>
      </c>
      <c r="DM4" s="76" t="s">
        <v>331</v>
      </c>
      <c r="DN4" s="44" t="s">
        <v>333</v>
      </c>
      <c r="DO4" s="44" t="s">
        <v>335</v>
      </c>
      <c r="DP4" s="44" t="s">
        <v>337</v>
      </c>
      <c r="DQ4" s="44" t="s">
        <v>339</v>
      </c>
      <c r="DR4" s="44" t="s">
        <v>342</v>
      </c>
      <c r="DS4" s="44" t="s">
        <v>346</v>
      </c>
      <c r="DT4" s="44" t="s">
        <v>350</v>
      </c>
      <c r="DU4" s="76" t="s">
        <v>366</v>
      </c>
      <c r="DV4" s="76" t="s">
        <v>367</v>
      </c>
      <c r="DW4" s="76" t="s">
        <v>368</v>
      </c>
      <c r="DX4" s="76" t="s">
        <v>369</v>
      </c>
      <c r="DY4" s="76"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c r="FA4" s="44" t="s">
        <v>434</v>
      </c>
      <c r="FB4" s="44" t="s">
        <v>436</v>
      </c>
      <c r="FC4" s="44" t="s">
        <v>438</v>
      </c>
      <c r="FD4" s="44" t="s">
        <v>439</v>
      </c>
      <c r="FE4" s="44" t="s">
        <v>442</v>
      </c>
      <c r="FF4" s="44" t="s">
        <v>445</v>
      </c>
    </row>
    <row r="5" spans="2:162" ht="54.6" customHeight="1" x14ac:dyDescent="0.4">
      <c r="B5" s="70"/>
      <c r="C5" s="64"/>
      <c r="D5" s="55"/>
      <c r="E5" s="55"/>
      <c r="F5" s="55"/>
      <c r="G5" s="55"/>
      <c r="H5" s="55"/>
      <c r="I5" s="55"/>
      <c r="J5" s="55"/>
      <c r="K5" s="55"/>
      <c r="L5" s="55"/>
      <c r="M5" s="55"/>
      <c r="N5" s="55"/>
      <c r="O5" s="55"/>
      <c r="P5" s="55"/>
      <c r="Q5" s="55"/>
      <c r="R5" s="83"/>
      <c r="S5" s="55"/>
      <c r="T5" s="55"/>
      <c r="U5" s="55"/>
      <c r="V5" s="55"/>
      <c r="W5" s="55"/>
      <c r="X5" s="55"/>
      <c r="Y5" s="79"/>
      <c r="Z5" s="55"/>
      <c r="AA5" s="55"/>
      <c r="AB5" s="55"/>
      <c r="AC5" s="79"/>
      <c r="AD5" s="55"/>
      <c r="AE5" s="55"/>
      <c r="AF5" s="55"/>
      <c r="AG5" s="55"/>
      <c r="AH5" s="55"/>
      <c r="AI5" s="79"/>
      <c r="AJ5" s="79"/>
      <c r="AK5" s="79"/>
      <c r="AL5" s="79"/>
      <c r="AM5" s="79"/>
      <c r="AN5" s="55"/>
      <c r="AO5" s="79"/>
      <c r="AP5" s="79"/>
      <c r="AQ5" s="55"/>
      <c r="AR5" s="79"/>
      <c r="AS5" s="55"/>
      <c r="AT5" s="55"/>
      <c r="AU5" s="55"/>
      <c r="AV5" s="55"/>
      <c r="AW5" s="55"/>
      <c r="AX5" s="79"/>
      <c r="AY5" s="79"/>
      <c r="AZ5" s="55"/>
      <c r="BA5" s="55"/>
      <c r="BB5" s="55"/>
      <c r="BC5" s="79"/>
      <c r="BD5" s="48"/>
      <c r="BE5" s="48"/>
      <c r="BF5" s="48"/>
      <c r="BG5" s="48"/>
      <c r="BH5" s="48"/>
      <c r="BI5" s="48"/>
      <c r="BJ5" s="48"/>
      <c r="BK5" s="48"/>
      <c r="BL5" s="48"/>
      <c r="BM5" s="48"/>
      <c r="BN5" s="48"/>
      <c r="BO5" s="48"/>
      <c r="BP5" s="48"/>
      <c r="BQ5" s="48"/>
      <c r="BR5" s="48"/>
      <c r="BS5" s="48"/>
      <c r="BT5" s="48"/>
      <c r="BU5" s="53"/>
      <c r="BV5" s="53"/>
      <c r="BW5" s="53"/>
      <c r="BX5" s="53"/>
      <c r="BY5" s="53"/>
      <c r="BZ5" s="53"/>
      <c r="CA5" s="48"/>
      <c r="CB5" s="48"/>
      <c r="CC5" s="48"/>
      <c r="CD5" s="48"/>
      <c r="CE5" s="55"/>
      <c r="CF5" s="55"/>
      <c r="CG5" s="55"/>
      <c r="CH5" s="55"/>
      <c r="CI5" s="55"/>
      <c r="CJ5" s="55"/>
      <c r="CK5" s="55"/>
      <c r="CL5" s="55"/>
      <c r="CM5" s="55"/>
      <c r="CN5" s="55"/>
      <c r="CO5" s="55"/>
      <c r="CP5" s="55"/>
      <c r="CQ5" s="55"/>
      <c r="CR5" s="55"/>
      <c r="CS5" s="55"/>
      <c r="CT5" s="55"/>
      <c r="CU5" s="55"/>
      <c r="CV5" s="55"/>
      <c r="CW5" s="55"/>
      <c r="CX5" s="55"/>
      <c r="CY5" s="55"/>
      <c r="CZ5" s="55"/>
      <c r="DA5" s="55"/>
      <c r="DB5" s="55"/>
      <c r="DC5" s="55"/>
      <c r="DD5" s="44"/>
      <c r="DE5" s="44"/>
      <c r="DF5" s="44"/>
      <c r="DG5" s="44"/>
      <c r="DH5" s="44"/>
      <c r="DI5" s="44"/>
      <c r="DJ5" s="44"/>
      <c r="DK5" s="44"/>
      <c r="DL5" s="44"/>
      <c r="DM5" s="76"/>
      <c r="DN5" s="44"/>
      <c r="DO5" s="44"/>
      <c r="DP5" s="44"/>
      <c r="DQ5" s="44"/>
      <c r="DR5" s="44"/>
      <c r="DS5" s="44"/>
      <c r="DT5" s="44"/>
      <c r="DU5" s="76"/>
      <c r="DV5" s="76"/>
      <c r="DW5" s="76"/>
      <c r="DX5" s="76"/>
      <c r="DY5" s="76"/>
      <c r="DZ5" s="44"/>
      <c r="EA5" s="44"/>
      <c r="EB5" s="44"/>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c r="FE5" s="44"/>
      <c r="FF5" s="44"/>
    </row>
    <row r="6" spans="2:162"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8">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c r="FB6" s="28">
        <v>117</v>
      </c>
      <c r="FC6" s="28">
        <v>88</v>
      </c>
      <c r="FD6" s="28">
        <v>100</v>
      </c>
      <c r="FE6" s="28">
        <v>100</v>
      </c>
      <c r="FF6" s="28">
        <v>124</v>
      </c>
    </row>
    <row r="7" spans="2:162"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8">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c r="FD7" s="15">
        <v>3</v>
      </c>
      <c r="FE7" s="15">
        <v>2</v>
      </c>
      <c r="FF7" s="15">
        <v>2</v>
      </c>
    </row>
    <row r="8" spans="2:162"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8">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c r="FB8" s="28">
        <v>23</v>
      </c>
      <c r="FC8" s="28">
        <v>11</v>
      </c>
      <c r="FD8" s="28">
        <v>10</v>
      </c>
      <c r="FE8" s="28">
        <v>4</v>
      </c>
      <c r="FF8" s="28">
        <v>10</v>
      </c>
    </row>
    <row r="9" spans="2:162"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8">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c r="FD9" s="15">
        <v>93</v>
      </c>
      <c r="FE9" s="15">
        <v>59</v>
      </c>
      <c r="FF9" s="15">
        <v>65</v>
      </c>
    </row>
    <row r="10" spans="2:162"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8">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c r="FD10" s="15">
        <v>1</v>
      </c>
      <c r="FE10" s="15">
        <v>0</v>
      </c>
      <c r="FF10" s="15">
        <v>0</v>
      </c>
    </row>
    <row r="11" spans="2:162"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8">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c r="FD11" s="15">
        <v>10</v>
      </c>
      <c r="FE11" s="15">
        <v>11</v>
      </c>
      <c r="FF11" s="15">
        <v>10</v>
      </c>
    </row>
    <row r="12" spans="2:162"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8">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c r="FD12" s="15">
        <v>12</v>
      </c>
      <c r="FE12" s="15">
        <v>6</v>
      </c>
      <c r="FF12" s="15">
        <v>6</v>
      </c>
    </row>
    <row r="13" spans="2:162"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8">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c r="FD13" s="15">
        <v>16</v>
      </c>
      <c r="FE13" s="15">
        <v>15</v>
      </c>
      <c r="FF13" s="15">
        <v>20</v>
      </c>
    </row>
    <row r="14" spans="2:162"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8">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c r="FD14" s="15">
        <v>17</v>
      </c>
      <c r="FE14" s="15">
        <v>20</v>
      </c>
      <c r="FF14" s="15">
        <v>29</v>
      </c>
    </row>
    <row r="15" spans="2:162"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8">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c r="FD15" s="15">
        <v>0</v>
      </c>
      <c r="FE15" s="15">
        <v>3</v>
      </c>
      <c r="FF15" s="15">
        <v>1</v>
      </c>
    </row>
    <row r="16" spans="2:162"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8">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c r="FB16" s="28">
        <v>144</v>
      </c>
      <c r="FC16" s="28">
        <v>109</v>
      </c>
      <c r="FD16" s="28">
        <v>93</v>
      </c>
      <c r="FE16" s="28">
        <v>119</v>
      </c>
      <c r="FF16" s="28">
        <v>126</v>
      </c>
    </row>
    <row r="17" spans="2:162"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8">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c r="FD17" s="15">
        <v>160</v>
      </c>
      <c r="FE17" s="15">
        <v>119</v>
      </c>
      <c r="FF17" s="15">
        <v>148</v>
      </c>
    </row>
    <row r="18" spans="2:162"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8">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c r="FB18" s="34">
        <v>1780</v>
      </c>
      <c r="FC18" s="34">
        <v>1751</v>
      </c>
      <c r="FD18" s="34">
        <v>1618</v>
      </c>
      <c r="FE18" s="34">
        <v>1536</v>
      </c>
      <c r="FF18" s="34">
        <v>1497</v>
      </c>
    </row>
    <row r="19" spans="2:162" ht="39.950000000000003" customHeight="1" x14ac:dyDescent="0.4">
      <c r="B19" s="80"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8">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c r="FD19" s="15">
        <v>51</v>
      </c>
      <c r="FE19" s="15">
        <v>49</v>
      </c>
      <c r="FF19" s="15">
        <v>43</v>
      </c>
    </row>
    <row r="20" spans="2:162" ht="39.950000000000003" customHeight="1" x14ac:dyDescent="0.4">
      <c r="B20" s="84"/>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8">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c r="FB20" s="28">
        <v>216</v>
      </c>
      <c r="FC20" s="28">
        <v>192</v>
      </c>
      <c r="FD20" s="28">
        <v>143</v>
      </c>
      <c r="FE20" s="28">
        <v>147</v>
      </c>
      <c r="FF20" s="28">
        <v>135</v>
      </c>
    </row>
    <row r="21" spans="2:162" ht="39.950000000000003" customHeight="1" x14ac:dyDescent="0.4">
      <c r="B21" s="81"/>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8">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c r="FD21" s="15">
        <v>35</v>
      </c>
      <c r="FE21" s="15">
        <v>23</v>
      </c>
      <c r="FF21" s="15">
        <v>22</v>
      </c>
    </row>
    <row r="22" spans="2:162"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8">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c r="FD22" s="15">
        <v>8</v>
      </c>
      <c r="FE22" s="15">
        <v>10</v>
      </c>
      <c r="FF22" s="15">
        <v>4</v>
      </c>
    </row>
    <row r="23" spans="2:162"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8">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c r="FD23" s="15">
        <v>0</v>
      </c>
      <c r="FE23" s="15">
        <v>0</v>
      </c>
      <c r="FF23" s="15">
        <v>1</v>
      </c>
    </row>
    <row r="24" spans="2:162"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8">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c r="FD24" s="15">
        <v>2</v>
      </c>
      <c r="FE24" s="15">
        <v>8</v>
      </c>
      <c r="FF24" s="15">
        <v>5</v>
      </c>
    </row>
    <row r="25" spans="2:162"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8">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c r="FD25" s="15">
        <v>0</v>
      </c>
      <c r="FE25" s="15">
        <v>0</v>
      </c>
      <c r="FF25" s="15">
        <v>0</v>
      </c>
    </row>
    <row r="26" spans="2:162"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8">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c r="FD26" s="15">
        <v>14</v>
      </c>
      <c r="FE26" s="15">
        <v>5</v>
      </c>
      <c r="FF26" s="15">
        <v>9</v>
      </c>
    </row>
    <row r="27" spans="2:162"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8">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c r="FD27" s="15">
        <v>0</v>
      </c>
      <c r="FE27" s="15">
        <v>0</v>
      </c>
      <c r="FF27" s="15">
        <v>0</v>
      </c>
    </row>
    <row r="28" spans="2:162"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8">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c r="FD28" s="15">
        <v>1</v>
      </c>
      <c r="FE28" s="15">
        <v>1</v>
      </c>
      <c r="FF28" s="15">
        <v>3</v>
      </c>
    </row>
    <row r="29" spans="2:162" ht="39.950000000000003" customHeight="1" x14ac:dyDescent="0.4">
      <c r="B29" s="85"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8">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c r="FD29" s="15">
        <v>3</v>
      </c>
      <c r="FE29" s="15">
        <v>2</v>
      </c>
      <c r="FF29" s="15">
        <v>4</v>
      </c>
    </row>
    <row r="30" spans="2:162" ht="39.950000000000003" customHeight="1" x14ac:dyDescent="0.4">
      <c r="B30" s="86"/>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8">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c r="FD30" s="15">
        <v>10</v>
      </c>
      <c r="FE30" s="15">
        <v>5</v>
      </c>
      <c r="FF30" s="15">
        <v>5</v>
      </c>
    </row>
    <row r="31" spans="2:162"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8">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c r="FD31" s="15">
        <v>16</v>
      </c>
      <c r="FE31" s="15">
        <v>17</v>
      </c>
      <c r="FF31" s="15">
        <v>26</v>
      </c>
    </row>
    <row r="32" spans="2:162"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8">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c r="FD32" s="15">
        <v>1</v>
      </c>
      <c r="FE32" s="15">
        <v>0</v>
      </c>
      <c r="FF32" s="15">
        <v>0</v>
      </c>
    </row>
    <row r="33" spans="2:162"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8">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c r="FD33" s="15">
        <v>2</v>
      </c>
      <c r="FE33" s="15">
        <v>0</v>
      </c>
      <c r="FF33" s="15">
        <v>0</v>
      </c>
    </row>
    <row r="34" spans="2:162"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8">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c r="FD34" s="15">
        <v>41</v>
      </c>
      <c r="FE34" s="15">
        <v>42</v>
      </c>
      <c r="FF34" s="15">
        <v>42</v>
      </c>
    </row>
    <row r="35" spans="2:162" ht="39.950000000000003" customHeight="1" x14ac:dyDescent="0.4">
      <c r="B35" s="80"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8">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c r="FD35" s="15">
        <v>345</v>
      </c>
      <c r="FE35" s="15">
        <v>337</v>
      </c>
      <c r="FF35" s="15">
        <v>355</v>
      </c>
    </row>
    <row r="36" spans="2:162" ht="39.950000000000003" customHeight="1" x14ac:dyDescent="0.4">
      <c r="B36" s="81"/>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8">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c r="FB36" s="28">
        <v>67</v>
      </c>
      <c r="FC36" s="28">
        <v>64</v>
      </c>
      <c r="FD36" s="28">
        <v>35</v>
      </c>
      <c r="FE36" s="28">
        <v>45</v>
      </c>
      <c r="FF36" s="28">
        <v>33</v>
      </c>
    </row>
    <row r="37" spans="2:162"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8">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c r="FD37" s="15">
        <v>45</v>
      </c>
      <c r="FE37" s="15">
        <v>45</v>
      </c>
      <c r="FF37" s="15">
        <v>38</v>
      </c>
    </row>
    <row r="38" spans="2:162"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8">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c r="FD38" s="15">
        <v>11</v>
      </c>
      <c r="FE38" s="15">
        <v>10</v>
      </c>
      <c r="FF38" s="15">
        <v>7</v>
      </c>
    </row>
    <row r="39" spans="2:162"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8">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c r="FD39" s="15">
        <v>8</v>
      </c>
      <c r="FE39" s="15">
        <v>10</v>
      </c>
      <c r="FF39" s="15">
        <v>6</v>
      </c>
    </row>
    <row r="40" spans="2:162"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8">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c r="FD40" s="15">
        <v>0</v>
      </c>
      <c r="FE40" s="15">
        <v>0</v>
      </c>
      <c r="FF40" s="15">
        <v>0</v>
      </c>
    </row>
    <row r="41" spans="2:162"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8">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c r="FD41" s="15">
        <v>0</v>
      </c>
      <c r="FE41" s="15">
        <v>1</v>
      </c>
      <c r="FF41" s="15">
        <v>0</v>
      </c>
    </row>
    <row r="42" spans="2:162"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8">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c r="FD42" s="15">
        <v>6</v>
      </c>
      <c r="FE42" s="15">
        <v>6</v>
      </c>
      <c r="FF42" s="15">
        <v>10</v>
      </c>
    </row>
    <row r="43" spans="2:162"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8">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c r="FB43" s="28">
        <v>63</v>
      </c>
      <c r="FC43" s="28">
        <v>58</v>
      </c>
      <c r="FD43" s="28">
        <v>41</v>
      </c>
      <c r="FE43" s="28">
        <v>44</v>
      </c>
      <c r="FF43" s="28">
        <v>61</v>
      </c>
    </row>
    <row r="44" spans="2:162"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8">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c r="FD44" s="15">
        <v>5</v>
      </c>
      <c r="FE44" s="15">
        <v>2</v>
      </c>
      <c r="FF44" s="15">
        <v>2</v>
      </c>
    </row>
    <row r="45" spans="2:162"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8">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c r="FD45" s="15">
        <v>13</v>
      </c>
      <c r="FE45" s="15">
        <v>8</v>
      </c>
      <c r="FF45" s="15">
        <v>9</v>
      </c>
    </row>
    <row r="46" spans="2:162"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8">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c r="FD46" s="15">
        <v>11</v>
      </c>
      <c r="FE46" s="15">
        <v>20</v>
      </c>
      <c r="FF46" s="15">
        <v>13</v>
      </c>
    </row>
    <row r="47" spans="2:162"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8">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c r="FD47" s="15">
        <v>3</v>
      </c>
      <c r="FE47" s="15">
        <v>0</v>
      </c>
      <c r="FF47" s="15">
        <v>0</v>
      </c>
    </row>
    <row r="48" spans="2:162"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8">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c r="FD48" s="15">
        <v>1</v>
      </c>
      <c r="FE48" s="15">
        <v>10</v>
      </c>
      <c r="FF48" s="15">
        <v>0</v>
      </c>
    </row>
    <row r="49" spans="2:162" ht="39.950000000000003" customHeight="1" x14ac:dyDescent="0.4">
      <c r="B49" s="80"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8">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c r="FD49" s="15">
        <v>24</v>
      </c>
      <c r="FE49" s="15">
        <v>38</v>
      </c>
      <c r="FF49" s="15">
        <v>52</v>
      </c>
    </row>
    <row r="50" spans="2:162" ht="39.950000000000003" customHeight="1" x14ac:dyDescent="0.4">
      <c r="B50" s="81"/>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8">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c r="FD50" s="15">
        <v>8</v>
      </c>
      <c r="FE50" s="15">
        <v>11</v>
      </c>
      <c r="FF50" s="15">
        <v>12</v>
      </c>
    </row>
    <row r="51" spans="2:162"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8">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c r="FD51" s="15">
        <v>2</v>
      </c>
      <c r="FE51" s="15">
        <v>4</v>
      </c>
      <c r="FF51" s="15">
        <v>2</v>
      </c>
    </row>
    <row r="52" spans="2:162"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8">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c r="FD52" s="15">
        <v>11</v>
      </c>
      <c r="FE52" s="15">
        <v>10</v>
      </c>
      <c r="FF52" s="15">
        <v>14</v>
      </c>
    </row>
    <row r="53" spans="2:162"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8">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c r="FD53" s="15">
        <v>26</v>
      </c>
      <c r="FE53" s="15">
        <v>25</v>
      </c>
      <c r="FF53" s="15">
        <v>30</v>
      </c>
    </row>
    <row r="54" spans="2:162"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8">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c r="FD54" s="15">
        <v>10</v>
      </c>
      <c r="FE54" s="15">
        <v>6</v>
      </c>
      <c r="FF54" s="15">
        <v>10</v>
      </c>
    </row>
    <row r="55" spans="2:162"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8">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c r="FD55" s="15">
        <v>9</v>
      </c>
      <c r="FE55" s="15">
        <v>10</v>
      </c>
      <c r="FF55" s="15">
        <v>9</v>
      </c>
    </row>
    <row r="56" spans="2:162"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8">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c r="FD56" s="15">
        <v>0</v>
      </c>
      <c r="FE56" s="15">
        <v>1</v>
      </c>
      <c r="FF56" s="15">
        <v>1</v>
      </c>
    </row>
    <row r="57" spans="2:162"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8">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c r="FD57" s="15">
        <v>1</v>
      </c>
      <c r="FE57" s="15">
        <v>0</v>
      </c>
      <c r="FF57" s="15">
        <v>1</v>
      </c>
    </row>
    <row r="58" spans="2:162"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43">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FD58" si="11">SUM(FC6:FC57)</f>
        <v>3556</v>
      </c>
      <c r="FD58" s="14">
        <f t="shared" si="11"/>
        <v>3075</v>
      </c>
      <c r="FE58" s="14">
        <f t="shared" ref="FE58" si="12">SUM(FE6:FE57)</f>
        <v>2946</v>
      </c>
      <c r="FF58" s="14">
        <v>3002</v>
      </c>
    </row>
  </sheetData>
  <mergeCells count="176">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CY4:CY5"/>
    <mergeCell ref="CF4:CF5"/>
    <mergeCell ref="CG4:CG5"/>
    <mergeCell ref="CO4:CO5"/>
    <mergeCell ref="CM4:CM5"/>
    <mergeCell ref="CK4:CK5"/>
    <mergeCell ref="CR4:CR5"/>
    <mergeCell ref="CQ4:CQ5"/>
    <mergeCell ref="DC4:DC5"/>
    <mergeCell ref="CZ4:CZ5"/>
    <mergeCell ref="CV4:CV5"/>
    <mergeCell ref="CW4:CW5"/>
    <mergeCell ref="DA4:DA5"/>
    <mergeCell ref="CE4:CE5"/>
    <mergeCell ref="CH4:CH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BC4:BC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B4:BB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FF4:FF5"/>
    <mergeCell ref="DD2:FF2"/>
    <mergeCell ref="ER3:FF3"/>
    <mergeCell ref="FE4:FE5"/>
    <mergeCell ref="FD4:FD5"/>
    <mergeCell ref="FC4:FC5"/>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s>
  <phoneticPr fontId="2"/>
  <conditionalFormatting sqref="DJ6:DN57">
    <cfRule type="containsBlanks" dxfId="18" priority="14">
      <formula>LEN(TRIM(DJ6))=0</formula>
    </cfRule>
  </conditionalFormatting>
  <conditionalFormatting sqref="DO6:DO57">
    <cfRule type="containsBlanks" dxfId="17" priority="13">
      <formula>LEN(TRIM(DO6))=0</formula>
    </cfRule>
  </conditionalFormatting>
  <conditionalFormatting sqref="EH6:EX57 EZ6:EZ57">
    <cfRule type="containsBlanks" dxfId="16" priority="15">
      <formula>LEN(TRIM(EH6))=0</formula>
    </cfRule>
  </conditionalFormatting>
  <conditionalFormatting sqref="EY6:EY57">
    <cfRule type="containsBlanks" dxfId="15" priority="7">
      <formula>LEN(TRIM(EY6))=0</formula>
    </cfRule>
  </conditionalFormatting>
  <conditionalFormatting sqref="FA6:FA57">
    <cfRule type="containsBlanks" dxfId="14" priority="6">
      <formula>LEN(TRIM(FA6))=0</formula>
    </cfRule>
  </conditionalFormatting>
  <conditionalFormatting sqref="FB6:FB57">
    <cfRule type="containsBlanks" dxfId="13" priority="5">
      <formula>LEN(TRIM(FB6))=0</formula>
    </cfRule>
  </conditionalFormatting>
  <conditionalFormatting sqref="FC6:FC57">
    <cfRule type="containsBlanks" dxfId="12" priority="4">
      <formula>LEN(TRIM(FC6))=0</formula>
    </cfRule>
  </conditionalFormatting>
  <conditionalFormatting sqref="FD6:FD57">
    <cfRule type="containsBlanks" dxfId="11" priority="3">
      <formula>LEN(TRIM(FD6))=0</formula>
    </cfRule>
  </conditionalFormatting>
  <conditionalFormatting sqref="FE6:FE57">
    <cfRule type="containsBlanks" dxfId="10" priority="2">
      <formula>LEN(TRIM(FE6))=0</formula>
    </cfRule>
  </conditionalFormatting>
  <conditionalFormatting sqref="FF6:FF57">
    <cfRule type="containsBlanks" dxfId="9" priority="1">
      <formula>LEN(TRIM(FF6))=0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12"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F61"/>
  <sheetViews>
    <sheetView view="pageBreakPreview" zoomScale="85" zoomScaleNormal="55" zoomScaleSheetLayoutView="85" workbookViewId="0">
      <pane xSplit="3" ySplit="5" topLeftCell="CZ50" activePane="bottomRight" state="frozen"/>
      <selection pane="topRight" activeCell="D1" sqref="D1"/>
      <selection pane="bottomLeft" activeCell="A5" sqref="A5"/>
      <selection pane="bottomRight" activeCell="DF58" sqref="DF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10" width="10.875" style="1" customWidth="1"/>
    <col min="111" max="16384" width="8.625" style="1"/>
  </cols>
  <sheetData>
    <row r="1" spans="1:110"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t="s">
        <v>290</v>
      </c>
    </row>
    <row r="2" spans="1:110" ht="32.450000000000003" customHeight="1" x14ac:dyDescent="0.4">
      <c r="B2" s="65"/>
      <c r="C2" s="66"/>
      <c r="D2" s="49" t="s">
        <v>241</v>
      </c>
      <c r="E2" s="50"/>
      <c r="F2" s="50"/>
      <c r="G2" s="50"/>
      <c r="H2" s="50"/>
      <c r="I2" s="50"/>
      <c r="J2" s="50"/>
      <c r="K2" s="50"/>
      <c r="L2" s="50"/>
      <c r="M2" s="50"/>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74"/>
      <c r="BD2" s="45" t="s">
        <v>324</v>
      </c>
      <c r="BE2" s="45"/>
      <c r="BF2" s="45"/>
      <c r="BG2" s="45"/>
      <c r="BH2" s="45"/>
      <c r="BI2" s="45"/>
      <c r="BJ2" s="45"/>
      <c r="BK2" s="45"/>
      <c r="BL2" s="45"/>
      <c r="BM2" s="45"/>
      <c r="BN2" s="45"/>
      <c r="BO2" s="45"/>
      <c r="BP2" s="45"/>
      <c r="BQ2" s="45"/>
      <c r="BR2" s="45"/>
      <c r="BS2" s="45"/>
      <c r="BT2" s="45"/>
      <c r="BU2" s="45"/>
      <c r="BV2" s="45"/>
      <c r="BW2" s="45"/>
      <c r="BX2" s="45"/>
      <c r="BY2" s="45"/>
      <c r="BZ2" s="45"/>
      <c r="CA2" s="45"/>
      <c r="CB2" s="45"/>
      <c r="CC2" s="45"/>
      <c r="CD2" s="45"/>
      <c r="CE2" s="45"/>
      <c r="CF2" s="45"/>
      <c r="CG2" s="45"/>
      <c r="CH2" s="45"/>
      <c r="CI2" s="45"/>
      <c r="CJ2" s="45"/>
      <c r="CK2" s="45"/>
      <c r="CL2" s="45"/>
      <c r="CM2" s="45"/>
      <c r="CN2" s="45"/>
      <c r="CO2" s="45"/>
      <c r="CP2" s="45"/>
      <c r="CQ2" s="45"/>
      <c r="CR2" s="45"/>
      <c r="CS2" s="45"/>
      <c r="CT2" s="45"/>
      <c r="CU2" s="45"/>
      <c r="CV2" s="45"/>
      <c r="CW2" s="45"/>
      <c r="CX2" s="45"/>
      <c r="CY2" s="45"/>
      <c r="CZ2" s="45"/>
      <c r="DA2" s="45"/>
      <c r="DB2" s="45"/>
      <c r="DC2" s="45"/>
      <c r="DD2" s="45"/>
      <c r="DE2" s="45"/>
      <c r="DF2" s="45"/>
    </row>
    <row r="3" spans="1:110" ht="27.95" customHeight="1" x14ac:dyDescent="0.4">
      <c r="B3" s="67"/>
      <c r="C3" s="68"/>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6" t="s">
        <v>278</v>
      </c>
      <c r="AS3" s="46"/>
      <c r="AT3" s="46"/>
      <c r="AU3" s="46"/>
      <c r="AV3" s="46"/>
      <c r="AW3" s="46"/>
      <c r="AX3" s="46"/>
      <c r="AY3" s="46"/>
      <c r="AZ3" s="46"/>
      <c r="BA3" s="46"/>
      <c r="BB3" s="46"/>
      <c r="BC3" s="46"/>
      <c r="BD3" s="46" t="s">
        <v>278</v>
      </c>
      <c r="BE3" s="46"/>
      <c r="BF3" s="46"/>
      <c r="BG3" s="46"/>
      <c r="BH3" s="46"/>
      <c r="BI3" s="46"/>
      <c r="BJ3" s="46"/>
      <c r="BK3" s="46"/>
      <c r="BL3" s="46"/>
      <c r="BM3" s="46"/>
      <c r="BN3" s="46"/>
      <c r="BO3" s="46"/>
      <c r="BP3" s="46"/>
      <c r="BQ3" s="46"/>
      <c r="BR3" s="46"/>
      <c r="BS3" s="46"/>
      <c r="BT3" s="46"/>
      <c r="BU3" s="46"/>
      <c r="BV3" s="46"/>
      <c r="BW3" s="46"/>
      <c r="BX3" s="46"/>
      <c r="BY3" s="46"/>
      <c r="BZ3" s="46"/>
      <c r="CA3" s="46"/>
      <c r="CB3" s="46"/>
      <c r="CC3" s="46"/>
      <c r="CD3" s="46"/>
      <c r="CE3" s="46"/>
      <c r="CF3" s="46"/>
      <c r="CG3" s="46"/>
      <c r="CH3" s="46"/>
      <c r="CI3" s="46"/>
      <c r="CJ3" s="46"/>
      <c r="CK3" s="46"/>
      <c r="CL3" s="46"/>
      <c r="CM3" s="46"/>
      <c r="CN3" s="46"/>
      <c r="CO3" s="46"/>
      <c r="CP3" s="46"/>
      <c r="CQ3" s="46"/>
      <c r="CR3" s="46" t="s">
        <v>415</v>
      </c>
      <c r="CS3" s="46"/>
      <c r="CT3" s="46"/>
      <c r="CU3" s="46"/>
      <c r="CV3" s="46"/>
      <c r="CW3" s="46"/>
      <c r="CX3" s="46"/>
      <c r="CY3" s="46"/>
      <c r="CZ3" s="46"/>
      <c r="DA3" s="46"/>
      <c r="DB3" s="46"/>
      <c r="DC3" s="46"/>
      <c r="DD3" s="46"/>
      <c r="DE3" s="46"/>
      <c r="DF3" s="46"/>
    </row>
    <row r="4" spans="1:110" ht="20.45" customHeight="1" x14ac:dyDescent="0.4">
      <c r="B4" s="69" t="s">
        <v>0</v>
      </c>
      <c r="C4" s="63" t="s">
        <v>1</v>
      </c>
      <c r="D4" s="48" t="s">
        <v>251</v>
      </c>
      <c r="E4" s="48" t="s">
        <v>206</v>
      </c>
      <c r="F4" s="48" t="s">
        <v>205</v>
      </c>
      <c r="G4" s="48" t="s">
        <v>207</v>
      </c>
      <c r="H4" s="48" t="s">
        <v>244</v>
      </c>
      <c r="I4" s="48" t="s">
        <v>208</v>
      </c>
      <c r="J4" s="48" t="s">
        <v>209</v>
      </c>
      <c r="K4" s="48" t="s">
        <v>210</v>
      </c>
      <c r="L4" s="48" t="s">
        <v>211</v>
      </c>
      <c r="M4" s="48" t="s">
        <v>243</v>
      </c>
      <c r="N4" s="48" t="s">
        <v>212</v>
      </c>
      <c r="O4" s="48" t="s">
        <v>213</v>
      </c>
      <c r="P4" s="48" t="s">
        <v>214</v>
      </c>
      <c r="Q4" s="48" t="s">
        <v>246</v>
      </c>
      <c r="R4" s="48" t="s">
        <v>218</v>
      </c>
      <c r="S4" s="48" t="s">
        <v>219</v>
      </c>
      <c r="T4" s="48" t="s">
        <v>220</v>
      </c>
      <c r="U4" s="48" t="s">
        <v>221</v>
      </c>
      <c r="V4" s="48" t="s">
        <v>222</v>
      </c>
      <c r="W4" s="48" t="s">
        <v>223</v>
      </c>
      <c r="X4" s="48" t="s">
        <v>224</v>
      </c>
      <c r="Y4" s="48" t="s">
        <v>225</v>
      </c>
      <c r="Z4" s="48" t="s">
        <v>247</v>
      </c>
      <c r="AA4" s="48" t="s">
        <v>227</v>
      </c>
      <c r="AB4" s="48" t="s">
        <v>228</v>
      </c>
      <c r="AC4" s="48" t="s">
        <v>229</v>
      </c>
      <c r="AD4" s="48" t="s">
        <v>248</v>
      </c>
      <c r="AE4" s="55" t="s">
        <v>252</v>
      </c>
      <c r="AF4" s="55" t="s">
        <v>254</v>
      </c>
      <c r="AG4" s="55" t="s">
        <v>256</v>
      </c>
      <c r="AH4" s="55" t="s">
        <v>258</v>
      </c>
      <c r="AI4" s="55" t="s">
        <v>260</v>
      </c>
      <c r="AJ4" s="55" t="s">
        <v>262</v>
      </c>
      <c r="AK4" s="55" t="s">
        <v>264</v>
      </c>
      <c r="AL4" s="55" t="s">
        <v>266</v>
      </c>
      <c r="AM4" s="55" t="s">
        <v>268</v>
      </c>
      <c r="AN4" s="55" t="s">
        <v>270</v>
      </c>
      <c r="AO4" s="55" t="s">
        <v>272</v>
      </c>
      <c r="AP4" s="55" t="s">
        <v>274</v>
      </c>
      <c r="AQ4" s="55" t="s">
        <v>276</v>
      </c>
      <c r="AR4" s="55" t="s">
        <v>279</v>
      </c>
      <c r="AS4" s="55" t="s">
        <v>284</v>
      </c>
      <c r="AT4" s="55" t="s">
        <v>286</v>
      </c>
      <c r="AU4" s="55" t="s">
        <v>288</v>
      </c>
      <c r="AV4" s="55" t="s">
        <v>291</v>
      </c>
      <c r="AW4" s="55" t="s">
        <v>292</v>
      </c>
      <c r="AX4" s="55" t="s">
        <v>294</v>
      </c>
      <c r="AY4" s="55" t="s">
        <v>296</v>
      </c>
      <c r="AZ4" s="55" t="s">
        <v>306</v>
      </c>
      <c r="BA4" s="55" t="s">
        <v>299</v>
      </c>
      <c r="BB4" s="55" t="s">
        <v>302</v>
      </c>
      <c r="BC4" s="55"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44" t="s">
        <v>443</v>
      </c>
      <c r="DF4" s="44" t="s">
        <v>444</v>
      </c>
    </row>
    <row r="5" spans="1:110" ht="54" customHeight="1" x14ac:dyDescent="0.4">
      <c r="B5" s="70"/>
      <c r="C5" s="64"/>
      <c r="D5" s="52"/>
      <c r="E5" s="52"/>
      <c r="F5" s="52"/>
      <c r="G5" s="52"/>
      <c r="H5" s="52"/>
      <c r="I5" s="52"/>
      <c r="J5" s="52"/>
      <c r="K5" s="52"/>
      <c r="L5" s="52"/>
      <c r="M5" s="52"/>
      <c r="N5" s="52"/>
      <c r="O5" s="52"/>
      <c r="P5" s="52"/>
      <c r="Q5" s="52"/>
      <c r="R5" s="52"/>
      <c r="S5" s="52"/>
      <c r="T5" s="52"/>
      <c r="U5" s="52"/>
      <c r="V5" s="52"/>
      <c r="W5" s="52"/>
      <c r="X5" s="52"/>
      <c r="Y5" s="52"/>
      <c r="Z5" s="52"/>
      <c r="AA5" s="52"/>
      <c r="AB5" s="52"/>
      <c r="AC5" s="52"/>
      <c r="AD5" s="52"/>
      <c r="AE5" s="51"/>
      <c r="AF5" s="51"/>
      <c r="AG5" s="51"/>
      <c r="AH5" s="51"/>
      <c r="AI5" s="51"/>
      <c r="AJ5" s="51"/>
      <c r="AK5" s="51"/>
      <c r="AL5" s="51"/>
      <c r="AM5" s="51"/>
      <c r="AN5" s="51"/>
      <c r="AO5" s="51"/>
      <c r="AP5" s="51"/>
      <c r="AQ5" s="51"/>
      <c r="AR5" s="51"/>
      <c r="AS5" s="51"/>
      <c r="AT5" s="51"/>
      <c r="AU5" s="51"/>
      <c r="AV5" s="51"/>
      <c r="AW5" s="51"/>
      <c r="AX5" s="51"/>
      <c r="AY5" s="51"/>
      <c r="AZ5" s="51"/>
      <c r="BA5" s="51"/>
      <c r="BB5" s="51"/>
      <c r="BC5" s="51"/>
      <c r="BD5" s="51"/>
      <c r="BE5" s="51"/>
      <c r="BF5" s="51"/>
      <c r="BG5" s="51"/>
      <c r="BH5" s="51"/>
      <c r="BI5" s="51"/>
      <c r="BJ5" s="51"/>
      <c r="BK5" s="51"/>
      <c r="BL5" s="51"/>
      <c r="BM5" s="51"/>
      <c r="BN5" s="51"/>
      <c r="BO5" s="51"/>
      <c r="BP5" s="51"/>
      <c r="BQ5" s="51"/>
      <c r="BR5" s="51"/>
      <c r="BS5" s="51"/>
      <c r="BT5" s="51"/>
      <c r="BU5" s="51"/>
      <c r="BV5" s="51"/>
      <c r="BW5" s="51"/>
      <c r="BX5" s="51"/>
      <c r="BY5" s="51"/>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c r="DF5" s="44"/>
    </row>
    <row r="6" spans="1:110"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c r="DB6" s="28">
        <v>27</v>
      </c>
      <c r="DC6" s="28">
        <v>18</v>
      </c>
      <c r="DD6" s="28">
        <v>19</v>
      </c>
      <c r="DE6" s="28">
        <v>15</v>
      </c>
      <c r="DF6" s="28">
        <v>16</v>
      </c>
    </row>
    <row r="7" spans="1:110"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c r="DD7" s="15">
        <v>0</v>
      </c>
      <c r="DE7" s="15">
        <v>0</v>
      </c>
      <c r="DF7" s="15">
        <v>0</v>
      </c>
    </row>
    <row r="8" spans="1:110"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c r="DB8" s="28">
        <v>0</v>
      </c>
      <c r="DC8" s="28">
        <v>0</v>
      </c>
      <c r="DD8" s="28">
        <v>0</v>
      </c>
      <c r="DE8" s="28">
        <v>0</v>
      </c>
      <c r="DF8" s="28">
        <v>0</v>
      </c>
    </row>
    <row r="9" spans="1:110"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c r="DB9" s="28">
        <v>2</v>
      </c>
      <c r="DC9" s="28">
        <v>8</v>
      </c>
      <c r="DD9" s="28">
        <v>8</v>
      </c>
      <c r="DE9" s="28">
        <v>5</v>
      </c>
      <c r="DF9" s="28">
        <v>12</v>
      </c>
    </row>
    <row r="10" spans="1:11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8">
        <v>0</v>
      </c>
      <c r="DC10" s="28">
        <v>0</v>
      </c>
      <c r="DD10" s="28">
        <v>0</v>
      </c>
      <c r="DE10" s="28">
        <v>0</v>
      </c>
      <c r="DF10" s="28">
        <v>0</v>
      </c>
    </row>
    <row r="11" spans="1:110"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c r="DB11" s="28">
        <v>1</v>
      </c>
      <c r="DC11" s="28">
        <v>3</v>
      </c>
      <c r="DD11" s="28">
        <v>8</v>
      </c>
      <c r="DE11" s="28">
        <v>2</v>
      </c>
      <c r="DF11" s="28">
        <v>4</v>
      </c>
    </row>
    <row r="12" spans="1:110"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c r="DD12" s="15">
        <v>0</v>
      </c>
      <c r="DE12" s="15">
        <v>2</v>
      </c>
      <c r="DF12" s="15">
        <v>2</v>
      </c>
    </row>
    <row r="13" spans="1:110"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c r="DD13" s="15">
        <v>10</v>
      </c>
      <c r="DE13" s="15">
        <v>10</v>
      </c>
      <c r="DF13" s="15">
        <v>10</v>
      </c>
    </row>
    <row r="14" spans="1:110"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c r="DD14" s="15">
        <v>5</v>
      </c>
      <c r="DE14" s="15">
        <v>7</v>
      </c>
      <c r="DF14" s="15">
        <v>7</v>
      </c>
    </row>
    <row r="15" spans="1:110"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c r="DD15" s="15">
        <v>0</v>
      </c>
      <c r="DE15" s="15">
        <v>0</v>
      </c>
      <c r="DF15" s="15">
        <v>0</v>
      </c>
    </row>
    <row r="16" spans="1:110"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c r="DB16" s="28">
        <v>1</v>
      </c>
      <c r="DC16" s="28">
        <v>2</v>
      </c>
      <c r="DD16" s="28">
        <v>0</v>
      </c>
      <c r="DE16" s="28">
        <v>2</v>
      </c>
      <c r="DF16" s="28">
        <v>1</v>
      </c>
    </row>
    <row r="17" spans="1:110"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c r="DD17" s="15">
        <v>25</v>
      </c>
      <c r="DE17" s="15">
        <v>25</v>
      </c>
      <c r="DF17" s="15">
        <v>24</v>
      </c>
    </row>
    <row r="18" spans="1:110"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c r="DB18" s="34">
        <v>228</v>
      </c>
      <c r="DC18" s="34">
        <v>236</v>
      </c>
      <c r="DD18" s="34">
        <v>201</v>
      </c>
      <c r="DE18" s="34">
        <v>196</v>
      </c>
      <c r="DF18" s="34">
        <v>184</v>
      </c>
    </row>
    <row r="19" spans="1:110" s="4" customFormat="1" ht="39.6" customHeight="1" x14ac:dyDescent="0.4">
      <c r="A19" s="3"/>
      <c r="B19" s="80"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c r="DD19" s="15">
        <v>15</v>
      </c>
      <c r="DE19" s="15">
        <v>12</v>
      </c>
      <c r="DF19" s="15">
        <v>11</v>
      </c>
    </row>
    <row r="20" spans="1:110" s="4" customFormat="1" ht="39.6" customHeight="1" x14ac:dyDescent="0.4">
      <c r="A20" s="3"/>
      <c r="B20" s="84"/>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c r="DB20" s="28">
        <v>52</v>
      </c>
      <c r="DC20" s="28">
        <v>42</v>
      </c>
      <c r="DD20" s="28">
        <v>26</v>
      </c>
      <c r="DE20" s="28">
        <v>20</v>
      </c>
      <c r="DF20" s="28">
        <v>17</v>
      </c>
    </row>
    <row r="21" spans="1:110" s="4" customFormat="1" ht="39.6" customHeight="1" x14ac:dyDescent="0.4">
      <c r="A21" s="3"/>
      <c r="B21" s="81"/>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c r="DD21" s="15">
        <v>9</v>
      </c>
      <c r="DE21" s="15">
        <v>7</v>
      </c>
      <c r="DF21" s="15">
        <v>7</v>
      </c>
    </row>
    <row r="22" spans="1:110"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c r="DD22" s="15">
        <v>0</v>
      </c>
      <c r="DE22" s="15">
        <v>0</v>
      </c>
      <c r="DF22" s="15">
        <v>2</v>
      </c>
    </row>
    <row r="23" spans="1:110"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c r="DD23" s="15">
        <v>0</v>
      </c>
      <c r="DE23" s="15">
        <v>0</v>
      </c>
      <c r="DF23" s="15">
        <v>0</v>
      </c>
    </row>
    <row r="24" spans="1:110"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c r="DD24" s="15">
        <v>0</v>
      </c>
      <c r="DE24" s="15">
        <v>1</v>
      </c>
      <c r="DF24" s="15">
        <v>2</v>
      </c>
    </row>
    <row r="25" spans="1:110"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c r="DD25" s="15">
        <v>1</v>
      </c>
      <c r="DE25" s="15">
        <v>0</v>
      </c>
      <c r="DF25" s="15">
        <v>0</v>
      </c>
    </row>
    <row r="26" spans="1:110"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c r="DD26" s="15">
        <v>3</v>
      </c>
      <c r="DE26" s="15">
        <v>7</v>
      </c>
      <c r="DF26" s="15">
        <v>3</v>
      </c>
    </row>
    <row r="27" spans="1:110"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c r="DD27" s="15">
        <v>0</v>
      </c>
      <c r="DE27" s="15">
        <v>0</v>
      </c>
      <c r="DF27" s="15">
        <v>0</v>
      </c>
    </row>
    <row r="28" spans="1:110"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c r="DD28" s="15">
        <v>0</v>
      </c>
      <c r="DE28" s="15">
        <v>0</v>
      </c>
      <c r="DF28" s="15">
        <v>0</v>
      </c>
    </row>
    <row r="29" spans="1:110" ht="39.6" customHeight="1" x14ac:dyDescent="0.4">
      <c r="B29" s="85"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c r="DD29" s="15">
        <v>0</v>
      </c>
      <c r="DE29" s="15">
        <v>0</v>
      </c>
      <c r="DF29" s="15">
        <v>1</v>
      </c>
    </row>
    <row r="30" spans="1:110" ht="39.6" customHeight="1" x14ac:dyDescent="0.4">
      <c r="B30" s="86"/>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c r="DD30" s="15">
        <v>3</v>
      </c>
      <c r="DE30" s="15">
        <v>1</v>
      </c>
      <c r="DF30" s="15">
        <v>4</v>
      </c>
    </row>
    <row r="31" spans="1:110"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c r="DD31" s="15">
        <v>11</v>
      </c>
      <c r="DE31" s="15">
        <v>7</v>
      </c>
      <c r="DF31" s="15">
        <v>9</v>
      </c>
    </row>
    <row r="32" spans="1:110"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c r="DD32" s="15">
        <v>0</v>
      </c>
      <c r="DE32" s="15">
        <v>0</v>
      </c>
      <c r="DF32" s="15">
        <v>0</v>
      </c>
    </row>
    <row r="33" spans="1:110"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c r="DD33" s="15">
        <v>0</v>
      </c>
      <c r="DE33" s="15">
        <v>0</v>
      </c>
      <c r="DF33" s="15">
        <v>0</v>
      </c>
    </row>
    <row r="34" spans="1:110"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c r="DD34" s="15">
        <v>6</v>
      </c>
      <c r="DE34" s="15">
        <v>7</v>
      </c>
      <c r="DF34" s="15">
        <v>13</v>
      </c>
    </row>
    <row r="35" spans="1:110" s="4" customFormat="1" ht="39.6" customHeight="1" x14ac:dyDescent="0.4">
      <c r="A35" s="3"/>
      <c r="B35" s="80"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c r="DD35" s="15">
        <v>53</v>
      </c>
      <c r="DE35" s="15">
        <v>43</v>
      </c>
      <c r="DF35" s="15">
        <v>57</v>
      </c>
    </row>
    <row r="36" spans="1:110" s="4" customFormat="1" ht="39.6" customHeight="1" x14ac:dyDescent="0.4">
      <c r="B36" s="81"/>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c r="DB36" s="28">
        <v>15</v>
      </c>
      <c r="DC36" s="28">
        <v>9</v>
      </c>
      <c r="DD36" s="28">
        <v>4</v>
      </c>
      <c r="DE36" s="28">
        <v>11</v>
      </c>
      <c r="DF36" s="28">
        <v>4</v>
      </c>
    </row>
    <row r="37" spans="1:110"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c r="DD37" s="15">
        <v>15</v>
      </c>
      <c r="DE37" s="15">
        <v>5</v>
      </c>
      <c r="DF37" s="15">
        <v>6</v>
      </c>
    </row>
    <row r="38" spans="1:110"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c r="DD38" s="15">
        <v>2</v>
      </c>
      <c r="DE38" s="15">
        <v>3</v>
      </c>
      <c r="DF38" s="15">
        <v>2</v>
      </c>
    </row>
    <row r="39" spans="1:110"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c r="DD39" s="15">
        <v>1</v>
      </c>
      <c r="DE39" s="15">
        <v>0</v>
      </c>
      <c r="DF39" s="15">
        <v>2</v>
      </c>
    </row>
    <row r="40" spans="1:110"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c r="DD40" s="15">
        <v>0</v>
      </c>
      <c r="DE40" s="15">
        <v>0</v>
      </c>
      <c r="DF40" s="15">
        <v>0</v>
      </c>
    </row>
    <row r="41" spans="1:110"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c r="DD41" s="15">
        <v>0</v>
      </c>
      <c r="DE41" s="15">
        <v>0</v>
      </c>
      <c r="DF41" s="15">
        <v>0</v>
      </c>
    </row>
    <row r="42" spans="1:110"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c r="DD42" s="15">
        <v>1</v>
      </c>
      <c r="DE42" s="15">
        <v>4</v>
      </c>
      <c r="DF42" s="15">
        <v>2</v>
      </c>
    </row>
    <row r="43" spans="1:110"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c r="DB43" s="28">
        <v>25</v>
      </c>
      <c r="DC43" s="28">
        <v>17</v>
      </c>
      <c r="DD43" s="28">
        <v>16</v>
      </c>
      <c r="DE43" s="28">
        <v>18</v>
      </c>
      <c r="DF43" s="28">
        <v>27</v>
      </c>
    </row>
    <row r="44" spans="1:110"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c r="DD44" s="15">
        <v>1</v>
      </c>
      <c r="DE44" s="15">
        <v>0</v>
      </c>
      <c r="DF44" s="15">
        <v>2</v>
      </c>
    </row>
    <row r="45" spans="1:110"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c r="DD45" s="15">
        <v>8</v>
      </c>
      <c r="DE45" s="15">
        <v>2</v>
      </c>
      <c r="DF45" s="15">
        <v>2</v>
      </c>
    </row>
    <row r="46" spans="1:110"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c r="DD46" s="15">
        <v>4</v>
      </c>
      <c r="DE46" s="15">
        <v>2</v>
      </c>
      <c r="DF46" s="15">
        <v>0</v>
      </c>
    </row>
    <row r="47" spans="1:110"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c r="DD47" s="15">
        <v>0</v>
      </c>
      <c r="DE47" s="15">
        <v>0</v>
      </c>
      <c r="DF47" s="15">
        <v>0</v>
      </c>
    </row>
    <row r="48" spans="1:110"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c r="DD48" s="15">
        <v>6</v>
      </c>
      <c r="DE48" s="15">
        <v>3</v>
      </c>
      <c r="DF48" s="15">
        <v>7</v>
      </c>
    </row>
    <row r="49" spans="1:110" s="4" customFormat="1" ht="39.6" customHeight="1" x14ac:dyDescent="0.4">
      <c r="A49" s="3"/>
      <c r="B49" s="80"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c r="DD49" s="15">
        <v>2</v>
      </c>
      <c r="DE49" s="15">
        <v>1</v>
      </c>
      <c r="DF49" s="15">
        <v>0</v>
      </c>
    </row>
    <row r="50" spans="1:110" s="4" customFormat="1" ht="39.6" customHeight="1" x14ac:dyDescent="0.4">
      <c r="B50" s="81"/>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c r="DD50" s="15">
        <v>4</v>
      </c>
      <c r="DE50" s="15">
        <v>0</v>
      </c>
      <c r="DF50" s="15">
        <v>0</v>
      </c>
    </row>
    <row r="51" spans="1:110"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c r="DD51" s="15">
        <v>0</v>
      </c>
      <c r="DE51" s="15">
        <v>0</v>
      </c>
      <c r="DF51" s="15">
        <v>0</v>
      </c>
    </row>
    <row r="52" spans="1:110"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c r="DD52" s="15">
        <v>3</v>
      </c>
      <c r="DE52" s="15">
        <v>2</v>
      </c>
      <c r="DF52" s="15">
        <v>1</v>
      </c>
    </row>
    <row r="53" spans="1:110"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c r="DD53" s="15">
        <v>12</v>
      </c>
      <c r="DE53" s="15">
        <v>9</v>
      </c>
      <c r="DF53" s="15">
        <v>3</v>
      </c>
    </row>
    <row r="54" spans="1:110"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c r="DD54" s="15">
        <v>4</v>
      </c>
      <c r="DE54" s="15">
        <v>2</v>
      </c>
      <c r="DF54" s="15">
        <v>3</v>
      </c>
    </row>
    <row r="55" spans="1:110"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c r="DD55" s="15">
        <v>0</v>
      </c>
      <c r="DE55" s="15">
        <v>0</v>
      </c>
      <c r="DF55" s="15">
        <v>0</v>
      </c>
    </row>
    <row r="56" spans="1:110"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c r="DD56" s="15">
        <v>0</v>
      </c>
      <c r="DE56" s="15">
        <v>0</v>
      </c>
      <c r="DF56" s="15">
        <v>0</v>
      </c>
    </row>
    <row r="57" spans="1:110"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c r="DD57" s="15">
        <v>0</v>
      </c>
      <c r="DE57" s="15">
        <v>0</v>
      </c>
      <c r="DF57" s="15">
        <v>0</v>
      </c>
    </row>
    <row r="58" spans="1:110"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c r="DD58" s="14">
        <f t="shared" ref="DD58:DE58" si="11">SUM(DD6:DD57)</f>
        <v>486</v>
      </c>
      <c r="DE58" s="14">
        <f t="shared" si="11"/>
        <v>431</v>
      </c>
      <c r="DF58" s="14">
        <v>447</v>
      </c>
    </row>
    <row r="59" spans="1:11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0"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0">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CR4:CR5"/>
    <mergeCell ref="BM4:BM5"/>
    <mergeCell ref="BR4:BR5"/>
    <mergeCell ref="BG4:BG5"/>
    <mergeCell ref="BZ4:BZ5"/>
    <mergeCell ref="BY4:BY5"/>
    <mergeCell ref="BL4:BL5"/>
    <mergeCell ref="BU4:BU5"/>
    <mergeCell ref="CY4:CY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BV4:BV5"/>
    <mergeCell ref="BT4:BT5"/>
    <mergeCell ref="BD4:BD5"/>
    <mergeCell ref="AG4:AG5"/>
    <mergeCell ref="AT4:AT5"/>
    <mergeCell ref="BB4:BB5"/>
    <mergeCell ref="AZ4:AZ5"/>
    <mergeCell ref="AY4:AY5"/>
    <mergeCell ref="AV4:AV5"/>
    <mergeCell ref="AP4:AP5"/>
    <mergeCell ref="AO4:AO5"/>
    <mergeCell ref="AH4:AH5"/>
    <mergeCell ref="AJ4:AJ5"/>
    <mergeCell ref="AI4:AI5"/>
    <mergeCell ref="BA4:BA5"/>
    <mergeCell ref="BC4:BC5"/>
    <mergeCell ref="X4:X5"/>
    <mergeCell ref="AE4:AE5"/>
    <mergeCell ref="W4:W5"/>
    <mergeCell ref="AU4:AU5"/>
    <mergeCell ref="AK4:AK5"/>
    <mergeCell ref="AD4:AD5"/>
    <mergeCell ref="Y4:Y5"/>
    <mergeCell ref="Z4:Z5"/>
    <mergeCell ref="AA4:AA5"/>
    <mergeCell ref="AR4:AR5"/>
    <mergeCell ref="AR3:BC3"/>
    <mergeCell ref="BF4:BF5"/>
    <mergeCell ref="BN4:BN5"/>
    <mergeCell ref="AS4:AS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DF4:DF5"/>
    <mergeCell ref="BD2:DF2"/>
    <mergeCell ref="CR3:DF3"/>
    <mergeCell ref="DE4:DE5"/>
    <mergeCell ref="DD4:DD5"/>
    <mergeCell ref="DC4:DC5"/>
    <mergeCell ref="DB4:DB5"/>
    <mergeCell ref="DA4:DA5"/>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s>
  <phoneticPr fontId="2"/>
  <conditionalFormatting sqref="CH6:CX57 CZ6:CZ57 DA10">
    <cfRule type="containsBlanks" dxfId="7" priority="11">
      <formula>LEN(TRIM(CH6))=0</formula>
    </cfRule>
  </conditionalFormatting>
  <conditionalFormatting sqref="CY6:CY57">
    <cfRule type="containsBlanks" dxfId="6" priority="9">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2" id="{5602503B-0E77-43D2-A987-5DC3B78222DE}">
            <xm:f>LEN(TRIM('搬送困難事案（今回）'!BP6))=0</xm:f>
            <x14:dxf>
              <fill>
                <patternFill>
                  <bgColor rgb="FFFFFF00"/>
                </patternFill>
              </fill>
            </x14:dxf>
          </x14:cfRule>
          <xm:sqref>BP6:CX57 DA6:DA9 DA11:DA57 DB6:DF57</xm:sqref>
        </x14:conditionalFormatting>
        <x14:conditionalFormatting xmlns:xm="http://schemas.microsoft.com/office/excel/2006/main">
          <x14:cfRule type="containsBlanks" priority="22" id="{5602503B-0E77-43D2-A987-5DC3B78222DE}">
            <xm:f>LEN(TRIM('搬送困難事案（今回）'!CX6))=0</xm:f>
            <x14:dxf>
              <fill>
                <patternFill>
                  <bgColor rgb="FFFFFF00"/>
                </patternFill>
              </fill>
            </x14:dxf>
          </x14:cfRule>
          <xm:sqref>CY6:CZ57 DA10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H61"/>
  <sheetViews>
    <sheetView view="pageBreakPreview" zoomScale="85" zoomScaleNormal="40" zoomScaleSheetLayoutView="85" workbookViewId="0">
      <pane xSplit="3" ySplit="5" topLeftCell="CZ48" activePane="bottomRight" state="frozen"/>
      <selection pane="topRight" activeCell="D1" sqref="D1"/>
      <selection pane="bottomLeft" activeCell="A5" sqref="A5"/>
      <selection pane="bottomRight" activeCell="DF58" sqref="DF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2" width="10.875" style="1" customWidth="1"/>
    <col min="113" max="16384" width="8.625" style="1"/>
  </cols>
  <sheetData>
    <row r="1" spans="1:112"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t="s">
        <v>290</v>
      </c>
    </row>
    <row r="2" spans="1:112" ht="33" x14ac:dyDescent="0.4">
      <c r="B2" s="65"/>
      <c r="C2" s="66"/>
      <c r="D2" s="49" t="s">
        <v>242</v>
      </c>
      <c r="E2" s="50"/>
      <c r="F2" s="50"/>
      <c r="G2" s="50"/>
      <c r="H2" s="50"/>
      <c r="I2" s="50"/>
      <c r="J2" s="50"/>
      <c r="K2" s="50"/>
      <c r="L2" s="50"/>
      <c r="M2" s="50"/>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74"/>
      <c r="BD2" s="45" t="s">
        <v>325</v>
      </c>
      <c r="BE2" s="45"/>
      <c r="BF2" s="45"/>
      <c r="BG2" s="45"/>
      <c r="BH2" s="45"/>
      <c r="BI2" s="45"/>
      <c r="BJ2" s="45"/>
      <c r="BK2" s="45"/>
      <c r="BL2" s="45"/>
      <c r="BM2" s="45"/>
      <c r="BN2" s="45"/>
      <c r="BO2" s="45"/>
      <c r="BP2" s="45"/>
      <c r="BQ2" s="45"/>
      <c r="BR2" s="45"/>
      <c r="BS2" s="45"/>
      <c r="BT2" s="45"/>
      <c r="BU2" s="45"/>
      <c r="BV2" s="45"/>
      <c r="BW2" s="45"/>
      <c r="BX2" s="45"/>
      <c r="BY2" s="45"/>
      <c r="BZ2" s="45"/>
      <c r="CA2" s="45"/>
      <c r="CB2" s="45"/>
      <c r="CC2" s="45"/>
      <c r="CD2" s="45"/>
      <c r="CE2" s="45"/>
      <c r="CF2" s="45"/>
      <c r="CG2" s="45"/>
      <c r="CH2" s="45"/>
      <c r="CI2" s="45"/>
      <c r="CJ2" s="45"/>
      <c r="CK2" s="45"/>
      <c r="CL2" s="45"/>
      <c r="CM2" s="45"/>
      <c r="CN2" s="45"/>
      <c r="CO2" s="45"/>
      <c r="CP2" s="45"/>
      <c r="CQ2" s="45"/>
      <c r="CR2" s="45"/>
      <c r="CS2" s="45"/>
      <c r="CT2" s="45"/>
      <c r="CU2" s="45"/>
      <c r="CV2" s="45"/>
      <c r="CW2" s="45"/>
      <c r="CX2" s="45"/>
      <c r="CY2" s="45"/>
      <c r="CZ2" s="45"/>
      <c r="DA2" s="45"/>
      <c r="DB2" s="45"/>
      <c r="DC2" s="45"/>
      <c r="DD2" s="45"/>
      <c r="DE2" s="45"/>
      <c r="DF2" s="45"/>
      <c r="DG2" s="20"/>
      <c r="DH2" s="20"/>
    </row>
    <row r="3" spans="1:112" ht="27.95" customHeight="1" x14ac:dyDescent="0.4">
      <c r="B3" s="67"/>
      <c r="C3" s="68"/>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6" t="s">
        <v>278</v>
      </c>
      <c r="AS3" s="46"/>
      <c r="AT3" s="46"/>
      <c r="AU3" s="46"/>
      <c r="AV3" s="46"/>
      <c r="AW3" s="46"/>
      <c r="AX3" s="46"/>
      <c r="AY3" s="46"/>
      <c r="AZ3" s="46"/>
      <c r="BA3" s="46"/>
      <c r="BB3" s="46"/>
      <c r="BC3" s="46"/>
      <c r="BD3" s="46" t="s">
        <v>278</v>
      </c>
      <c r="BE3" s="46"/>
      <c r="BF3" s="46"/>
      <c r="BG3" s="46"/>
      <c r="BH3" s="46"/>
      <c r="BI3" s="46"/>
      <c r="BJ3" s="46"/>
      <c r="BK3" s="46"/>
      <c r="BL3" s="46"/>
      <c r="BM3" s="46"/>
      <c r="BN3" s="46"/>
      <c r="BO3" s="46"/>
      <c r="BP3" s="46"/>
      <c r="BQ3" s="46"/>
      <c r="BR3" s="46"/>
      <c r="BS3" s="46"/>
      <c r="BT3" s="46"/>
      <c r="BU3" s="46"/>
      <c r="BV3" s="46"/>
      <c r="BW3" s="46"/>
      <c r="BX3" s="46"/>
      <c r="BY3" s="46"/>
      <c r="BZ3" s="46"/>
      <c r="CA3" s="46"/>
      <c r="CB3" s="46"/>
      <c r="CC3" s="46"/>
      <c r="CD3" s="46"/>
      <c r="CE3" s="46"/>
      <c r="CF3" s="46"/>
      <c r="CG3" s="46"/>
      <c r="CH3" s="46"/>
      <c r="CI3" s="46"/>
      <c r="CJ3" s="46"/>
      <c r="CK3" s="46"/>
      <c r="CL3" s="46"/>
      <c r="CM3" s="46"/>
      <c r="CN3" s="46"/>
      <c r="CO3" s="46"/>
      <c r="CP3" s="46"/>
      <c r="CQ3" s="46"/>
      <c r="CR3" s="46" t="s">
        <v>415</v>
      </c>
      <c r="CS3" s="46"/>
      <c r="CT3" s="46"/>
      <c r="CU3" s="46"/>
      <c r="CV3" s="46"/>
      <c r="CW3" s="46"/>
      <c r="CX3" s="46"/>
      <c r="CY3" s="46"/>
      <c r="CZ3" s="46"/>
      <c r="DA3" s="46"/>
      <c r="DB3" s="46"/>
      <c r="DC3" s="46"/>
      <c r="DD3" s="46"/>
      <c r="DE3" s="46"/>
      <c r="DF3" s="46"/>
      <c r="DG3" s="21"/>
      <c r="DH3" s="21"/>
    </row>
    <row r="4" spans="1:112" ht="20.45" customHeight="1" x14ac:dyDescent="0.4">
      <c r="B4" s="69" t="s">
        <v>0</v>
      </c>
      <c r="C4" s="63" t="s">
        <v>1</v>
      </c>
      <c r="D4" s="48" t="s">
        <v>251</v>
      </c>
      <c r="E4" s="48" t="s">
        <v>206</v>
      </c>
      <c r="F4" s="48" t="s">
        <v>205</v>
      </c>
      <c r="G4" s="48" t="s">
        <v>207</v>
      </c>
      <c r="H4" s="48" t="s">
        <v>244</v>
      </c>
      <c r="I4" s="48" t="s">
        <v>208</v>
      </c>
      <c r="J4" s="48" t="s">
        <v>209</v>
      </c>
      <c r="K4" s="48" t="s">
        <v>210</v>
      </c>
      <c r="L4" s="48" t="s">
        <v>211</v>
      </c>
      <c r="M4" s="48" t="s">
        <v>243</v>
      </c>
      <c r="N4" s="48" t="s">
        <v>212</v>
      </c>
      <c r="O4" s="48" t="s">
        <v>213</v>
      </c>
      <c r="P4" s="48" t="s">
        <v>214</v>
      </c>
      <c r="Q4" s="48" t="s">
        <v>246</v>
      </c>
      <c r="R4" s="48" t="s">
        <v>218</v>
      </c>
      <c r="S4" s="48" t="s">
        <v>219</v>
      </c>
      <c r="T4" s="48" t="s">
        <v>220</v>
      </c>
      <c r="U4" s="48" t="s">
        <v>221</v>
      </c>
      <c r="V4" s="48" t="s">
        <v>222</v>
      </c>
      <c r="W4" s="48" t="s">
        <v>223</v>
      </c>
      <c r="X4" s="48" t="s">
        <v>224</v>
      </c>
      <c r="Y4" s="48" t="s">
        <v>225</v>
      </c>
      <c r="Z4" s="48" t="s">
        <v>247</v>
      </c>
      <c r="AA4" s="48" t="s">
        <v>227</v>
      </c>
      <c r="AB4" s="48" t="s">
        <v>228</v>
      </c>
      <c r="AC4" s="48" t="s">
        <v>229</v>
      </c>
      <c r="AD4" s="48" t="s">
        <v>248</v>
      </c>
      <c r="AE4" s="55" t="s">
        <v>252</v>
      </c>
      <c r="AF4" s="55" t="s">
        <v>254</v>
      </c>
      <c r="AG4" s="55" t="s">
        <v>256</v>
      </c>
      <c r="AH4" s="55" t="s">
        <v>258</v>
      </c>
      <c r="AI4" s="55" t="s">
        <v>260</v>
      </c>
      <c r="AJ4" s="55" t="s">
        <v>262</v>
      </c>
      <c r="AK4" s="55" t="s">
        <v>264</v>
      </c>
      <c r="AL4" s="55" t="s">
        <v>266</v>
      </c>
      <c r="AM4" s="55" t="s">
        <v>268</v>
      </c>
      <c r="AN4" s="55" t="s">
        <v>270</v>
      </c>
      <c r="AO4" s="55" t="s">
        <v>272</v>
      </c>
      <c r="AP4" s="55" t="s">
        <v>274</v>
      </c>
      <c r="AQ4" s="55" t="s">
        <v>276</v>
      </c>
      <c r="AR4" s="55" t="s">
        <v>279</v>
      </c>
      <c r="AS4" s="55" t="s">
        <v>284</v>
      </c>
      <c r="AT4" s="55" t="s">
        <v>286</v>
      </c>
      <c r="AU4" s="55" t="s">
        <v>288</v>
      </c>
      <c r="AV4" s="55" t="s">
        <v>291</v>
      </c>
      <c r="AW4" s="55" t="s">
        <v>292</v>
      </c>
      <c r="AX4" s="55" t="s">
        <v>294</v>
      </c>
      <c r="AY4" s="55" t="s">
        <v>296</v>
      </c>
      <c r="AZ4" s="55" t="s">
        <v>306</v>
      </c>
      <c r="BA4" s="55" t="s">
        <v>299</v>
      </c>
      <c r="BB4" s="55" t="s">
        <v>302</v>
      </c>
      <c r="BC4" s="55"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44" t="s">
        <v>441</v>
      </c>
      <c r="DF4" s="44" t="s">
        <v>444</v>
      </c>
      <c r="DG4" s="88"/>
      <c r="DH4" s="88"/>
    </row>
    <row r="5" spans="1:112" ht="54" customHeight="1" x14ac:dyDescent="0.4">
      <c r="B5" s="70"/>
      <c r="C5" s="64"/>
      <c r="D5" s="52"/>
      <c r="E5" s="52"/>
      <c r="F5" s="52"/>
      <c r="G5" s="52"/>
      <c r="H5" s="52"/>
      <c r="I5" s="52"/>
      <c r="J5" s="52"/>
      <c r="K5" s="52"/>
      <c r="L5" s="52"/>
      <c r="M5" s="52"/>
      <c r="N5" s="52"/>
      <c r="O5" s="52"/>
      <c r="P5" s="52"/>
      <c r="Q5" s="52"/>
      <c r="R5" s="52"/>
      <c r="S5" s="52"/>
      <c r="T5" s="52"/>
      <c r="U5" s="52"/>
      <c r="V5" s="52"/>
      <c r="W5" s="52"/>
      <c r="X5" s="52"/>
      <c r="Y5" s="52"/>
      <c r="Z5" s="52"/>
      <c r="AA5" s="52"/>
      <c r="AB5" s="52"/>
      <c r="AC5" s="52"/>
      <c r="AD5" s="52"/>
      <c r="AE5" s="51"/>
      <c r="AF5" s="51"/>
      <c r="AG5" s="51"/>
      <c r="AH5" s="51"/>
      <c r="AI5" s="51"/>
      <c r="AJ5" s="51"/>
      <c r="AK5" s="51"/>
      <c r="AL5" s="51"/>
      <c r="AM5" s="51"/>
      <c r="AN5" s="51"/>
      <c r="AO5" s="51"/>
      <c r="AP5" s="51"/>
      <c r="AQ5" s="51"/>
      <c r="AR5" s="51"/>
      <c r="AS5" s="51"/>
      <c r="AT5" s="51"/>
      <c r="AU5" s="51"/>
      <c r="AV5" s="51"/>
      <c r="AW5" s="51"/>
      <c r="AX5" s="51"/>
      <c r="AY5" s="51"/>
      <c r="AZ5" s="51"/>
      <c r="BA5" s="51"/>
      <c r="BB5" s="51"/>
      <c r="BC5" s="51"/>
      <c r="BD5" s="51"/>
      <c r="BE5" s="51"/>
      <c r="BF5" s="51"/>
      <c r="BG5" s="51"/>
      <c r="BH5" s="51"/>
      <c r="BI5" s="51"/>
      <c r="BJ5" s="51"/>
      <c r="BK5" s="51"/>
      <c r="BL5" s="51"/>
      <c r="BM5" s="51"/>
      <c r="BN5" s="51"/>
      <c r="BO5" s="51"/>
      <c r="BP5" s="51"/>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c r="DF5" s="44"/>
      <c r="DG5" s="88"/>
      <c r="DH5" s="88"/>
    </row>
    <row r="6" spans="1:112"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8">
        <v>90</v>
      </c>
      <c r="DC6" s="28">
        <v>81</v>
      </c>
      <c r="DD6" s="28">
        <v>62</v>
      </c>
      <c r="DE6" s="28">
        <v>62</v>
      </c>
      <c r="DF6" s="28">
        <v>86</v>
      </c>
      <c r="DG6" s="22"/>
      <c r="DH6" s="22"/>
    </row>
    <row r="7" spans="1:112"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15">
        <v>0</v>
      </c>
      <c r="DE7" s="15">
        <v>1</v>
      </c>
      <c r="DF7" s="15">
        <v>1</v>
      </c>
      <c r="DG7" s="23"/>
      <c r="DH7" s="23"/>
    </row>
    <row r="8" spans="1:112"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8">
        <v>21</v>
      </c>
      <c r="DC8" s="28">
        <v>17</v>
      </c>
      <c r="DD8" s="28">
        <v>14</v>
      </c>
      <c r="DE8" s="28">
        <v>7</v>
      </c>
      <c r="DF8" s="28">
        <v>12</v>
      </c>
      <c r="DG8" s="23"/>
      <c r="DH8" s="23"/>
    </row>
    <row r="9" spans="1:112"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8">
        <v>63</v>
      </c>
      <c r="DC9" s="28">
        <v>55</v>
      </c>
      <c r="DD9" s="28">
        <v>71</v>
      </c>
      <c r="DE9" s="28">
        <v>54</v>
      </c>
      <c r="DF9" s="28">
        <v>47</v>
      </c>
      <c r="DG9" s="23"/>
      <c r="DH9" s="23"/>
    </row>
    <row r="10" spans="1:11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8">
        <v>0</v>
      </c>
      <c r="DC10" s="28">
        <v>1</v>
      </c>
      <c r="DD10" s="28">
        <v>0</v>
      </c>
      <c r="DE10" s="28">
        <v>0</v>
      </c>
      <c r="DF10" s="28">
        <v>1</v>
      </c>
      <c r="DG10" s="23"/>
      <c r="DH10" s="23"/>
    </row>
    <row r="11" spans="1:112"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8">
        <v>5</v>
      </c>
      <c r="DC11" s="28">
        <v>4</v>
      </c>
      <c r="DD11" s="28">
        <v>9</v>
      </c>
      <c r="DE11" s="28">
        <v>7</v>
      </c>
      <c r="DF11" s="28">
        <v>3</v>
      </c>
      <c r="DG11" s="23"/>
      <c r="DH11" s="23"/>
    </row>
    <row r="12" spans="1:112"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15">
        <v>3</v>
      </c>
      <c r="DE12" s="15">
        <v>3</v>
      </c>
      <c r="DF12" s="15">
        <v>3</v>
      </c>
      <c r="DG12" s="23"/>
      <c r="DH12" s="23"/>
    </row>
    <row r="13" spans="1:112"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15">
        <v>15</v>
      </c>
      <c r="DE13" s="15">
        <v>17</v>
      </c>
      <c r="DF13" s="15">
        <v>10</v>
      </c>
      <c r="DG13" s="22"/>
      <c r="DH13" s="22"/>
    </row>
    <row r="14" spans="1:112"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15">
        <v>15</v>
      </c>
      <c r="DE14" s="15">
        <v>12</v>
      </c>
      <c r="DF14" s="15">
        <v>9</v>
      </c>
      <c r="DG14" s="23"/>
      <c r="DH14" s="23"/>
    </row>
    <row r="15" spans="1:112"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15">
        <v>1</v>
      </c>
      <c r="DE15" s="15">
        <v>0</v>
      </c>
      <c r="DF15" s="15">
        <v>1</v>
      </c>
      <c r="DG15" s="23"/>
      <c r="DH15" s="23"/>
    </row>
    <row r="16" spans="1:112"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8">
        <v>101</v>
      </c>
      <c r="DC16" s="28">
        <v>108</v>
      </c>
      <c r="DD16" s="28">
        <v>104</v>
      </c>
      <c r="DE16" s="28">
        <v>102</v>
      </c>
      <c r="DF16" s="28">
        <v>96</v>
      </c>
      <c r="DG16" s="22"/>
      <c r="DH16" s="22"/>
    </row>
    <row r="17" spans="1:112"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15">
        <v>96</v>
      </c>
      <c r="DE17" s="15">
        <v>103</v>
      </c>
      <c r="DF17" s="15">
        <v>101</v>
      </c>
      <c r="DG17" s="22"/>
      <c r="DH17" s="22"/>
    </row>
    <row r="18" spans="1:112"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34">
        <v>1369</v>
      </c>
      <c r="DC18" s="34">
        <v>1542</v>
      </c>
      <c r="DD18" s="34">
        <v>1342</v>
      </c>
      <c r="DE18" s="34">
        <v>1136</v>
      </c>
      <c r="DF18" s="34">
        <v>1171</v>
      </c>
      <c r="DG18" s="22"/>
      <c r="DH18" s="22"/>
    </row>
    <row r="19" spans="1:112" s="4" customFormat="1" ht="39.6" customHeight="1" x14ac:dyDescent="0.4">
      <c r="A19" s="3"/>
      <c r="B19" s="80"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15">
        <v>34</v>
      </c>
      <c r="DE19" s="15">
        <v>29</v>
      </c>
      <c r="DF19" s="15">
        <v>22</v>
      </c>
      <c r="DG19" s="22"/>
      <c r="DH19" s="22"/>
    </row>
    <row r="20" spans="1:112" s="4" customFormat="1" ht="39.6" customHeight="1" x14ac:dyDescent="0.4">
      <c r="A20" s="3"/>
      <c r="B20" s="84"/>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8">
        <v>63</v>
      </c>
      <c r="DC20" s="28">
        <v>65</v>
      </c>
      <c r="DD20" s="28">
        <v>76</v>
      </c>
      <c r="DE20" s="28">
        <v>41</v>
      </c>
      <c r="DF20" s="28">
        <v>46</v>
      </c>
      <c r="DG20" s="22"/>
      <c r="DH20" s="22"/>
    </row>
    <row r="21" spans="1:112" s="4" customFormat="1" ht="39.6" customHeight="1" x14ac:dyDescent="0.4">
      <c r="A21" s="3"/>
      <c r="B21" s="81"/>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15">
        <v>19</v>
      </c>
      <c r="DE21" s="15">
        <v>11</v>
      </c>
      <c r="DF21" s="15">
        <v>14</v>
      </c>
      <c r="DG21" s="22"/>
      <c r="DH21" s="22"/>
    </row>
    <row r="22" spans="1:112"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15">
        <v>2</v>
      </c>
      <c r="DE22" s="15">
        <v>1</v>
      </c>
      <c r="DF22" s="15">
        <v>7</v>
      </c>
      <c r="DG22" s="23"/>
      <c r="DH22" s="23"/>
    </row>
    <row r="23" spans="1:112"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15">
        <v>0</v>
      </c>
      <c r="DE23" s="15">
        <v>0</v>
      </c>
      <c r="DF23" s="15">
        <v>0</v>
      </c>
      <c r="DG23" s="23"/>
      <c r="DH23" s="23"/>
    </row>
    <row r="24" spans="1:112"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15">
        <v>8</v>
      </c>
      <c r="DE24" s="15">
        <v>2</v>
      </c>
      <c r="DF24" s="15">
        <v>7</v>
      </c>
      <c r="DG24" s="22"/>
      <c r="DH24" s="22"/>
    </row>
    <row r="25" spans="1:112"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15">
        <v>0</v>
      </c>
      <c r="DE25" s="15">
        <v>0</v>
      </c>
      <c r="DF25" s="15">
        <v>1</v>
      </c>
      <c r="DG25" s="23"/>
      <c r="DH25" s="23"/>
    </row>
    <row r="26" spans="1:112"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15">
        <v>7</v>
      </c>
      <c r="DE26" s="15">
        <v>8</v>
      </c>
      <c r="DF26" s="15">
        <v>5</v>
      </c>
      <c r="DG26" s="23"/>
      <c r="DH26" s="23"/>
    </row>
    <row r="27" spans="1:112"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15">
        <v>0</v>
      </c>
      <c r="DE27" s="15">
        <v>0</v>
      </c>
      <c r="DF27" s="15">
        <v>0</v>
      </c>
      <c r="DG27" s="23"/>
      <c r="DH27" s="23"/>
    </row>
    <row r="28" spans="1:112"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15">
        <v>2</v>
      </c>
      <c r="DE28" s="15">
        <v>1</v>
      </c>
      <c r="DF28" s="15">
        <v>0</v>
      </c>
      <c r="DG28" s="22"/>
      <c r="DH28" s="22"/>
    </row>
    <row r="29" spans="1:112" ht="39.6" customHeight="1" x14ac:dyDescent="0.4">
      <c r="B29" s="85"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15">
        <v>0</v>
      </c>
      <c r="DE29" s="15">
        <v>1</v>
      </c>
      <c r="DF29" s="15">
        <v>0</v>
      </c>
      <c r="DG29" s="23"/>
      <c r="DH29" s="23"/>
    </row>
    <row r="30" spans="1:112" ht="39.6" customHeight="1" x14ac:dyDescent="0.4">
      <c r="B30" s="86"/>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15">
        <v>8</v>
      </c>
      <c r="DE30" s="15">
        <v>11</v>
      </c>
      <c r="DF30" s="15">
        <v>10</v>
      </c>
      <c r="DG30" s="23"/>
      <c r="DH30" s="23"/>
    </row>
    <row r="31" spans="1:112"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15">
        <v>33</v>
      </c>
      <c r="DE31" s="15">
        <v>29</v>
      </c>
      <c r="DF31" s="15">
        <v>19</v>
      </c>
      <c r="DG31" s="22"/>
      <c r="DH31" s="22"/>
    </row>
    <row r="32" spans="1:112"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15">
        <v>0</v>
      </c>
      <c r="DE32" s="15">
        <v>0</v>
      </c>
      <c r="DF32" s="15">
        <v>0</v>
      </c>
      <c r="DG32" s="23"/>
      <c r="DH32" s="23"/>
    </row>
    <row r="33" spans="1:112"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15">
        <v>0</v>
      </c>
      <c r="DE33" s="15">
        <v>0</v>
      </c>
      <c r="DF33" s="15">
        <v>0</v>
      </c>
      <c r="DG33" s="23"/>
      <c r="DH33" s="23"/>
    </row>
    <row r="34" spans="1:112"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15">
        <v>45</v>
      </c>
      <c r="DE34" s="15">
        <v>38</v>
      </c>
      <c r="DF34" s="15">
        <v>44</v>
      </c>
      <c r="DG34" s="22"/>
      <c r="DH34" s="22"/>
    </row>
    <row r="35" spans="1:112" s="4" customFormat="1" ht="39.6" customHeight="1" x14ac:dyDescent="0.4">
      <c r="A35" s="3"/>
      <c r="B35" s="80"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15">
        <v>210</v>
      </c>
      <c r="DE35" s="15">
        <v>201</v>
      </c>
      <c r="DF35" s="15">
        <v>186</v>
      </c>
      <c r="DG35" s="22"/>
      <c r="DH35" s="22"/>
    </row>
    <row r="36" spans="1:112" s="4" customFormat="1" ht="39.6" customHeight="1" x14ac:dyDescent="0.4">
      <c r="B36" s="81"/>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8">
        <v>18</v>
      </c>
      <c r="DC36" s="28">
        <v>15</v>
      </c>
      <c r="DD36" s="28">
        <v>15</v>
      </c>
      <c r="DE36" s="28">
        <v>10</v>
      </c>
      <c r="DF36" s="28">
        <v>12</v>
      </c>
      <c r="DG36" s="22"/>
      <c r="DH36" s="22"/>
    </row>
    <row r="37" spans="1:112"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15">
        <v>36</v>
      </c>
      <c r="DE37" s="15">
        <v>23</v>
      </c>
      <c r="DF37" s="15">
        <v>30</v>
      </c>
      <c r="DG37" s="22"/>
      <c r="DH37" s="22"/>
    </row>
    <row r="38" spans="1:112"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15">
        <v>4</v>
      </c>
      <c r="DE38" s="15">
        <v>4</v>
      </c>
      <c r="DF38" s="15">
        <v>4</v>
      </c>
      <c r="DG38" s="23"/>
      <c r="DH38" s="23"/>
    </row>
    <row r="39" spans="1:112"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15">
        <v>3</v>
      </c>
      <c r="DE39" s="15">
        <v>3</v>
      </c>
      <c r="DF39" s="15">
        <v>2</v>
      </c>
      <c r="DG39" s="23"/>
      <c r="DH39" s="23"/>
    </row>
    <row r="40" spans="1:112"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15">
        <v>0</v>
      </c>
      <c r="DE40" s="15">
        <v>0</v>
      </c>
      <c r="DF40" s="15">
        <v>0</v>
      </c>
      <c r="DG40" s="23"/>
      <c r="DH40" s="23"/>
    </row>
    <row r="41" spans="1:112"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15">
        <v>0</v>
      </c>
      <c r="DE41" s="15">
        <v>0</v>
      </c>
      <c r="DF41" s="15">
        <v>0</v>
      </c>
      <c r="DG41" s="23"/>
      <c r="DH41" s="23"/>
    </row>
    <row r="42" spans="1:112"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15">
        <v>7</v>
      </c>
      <c r="DE42" s="15">
        <v>4</v>
      </c>
      <c r="DF42" s="15">
        <v>6</v>
      </c>
      <c r="DG42" s="23"/>
      <c r="DH42" s="23"/>
    </row>
    <row r="43" spans="1:112"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8">
        <v>32</v>
      </c>
      <c r="DC43" s="28">
        <v>30</v>
      </c>
      <c r="DD43" s="28">
        <v>21</v>
      </c>
      <c r="DE43" s="28">
        <v>30</v>
      </c>
      <c r="DF43" s="28">
        <v>35</v>
      </c>
      <c r="DG43" s="23"/>
      <c r="DH43" s="23"/>
    </row>
    <row r="44" spans="1:112"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15">
        <v>3</v>
      </c>
      <c r="DE44" s="15">
        <v>0</v>
      </c>
      <c r="DF44" s="15">
        <v>2</v>
      </c>
      <c r="DG44" s="23"/>
      <c r="DH44" s="23"/>
    </row>
    <row r="45" spans="1:112"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15">
        <v>10</v>
      </c>
      <c r="DE45" s="15">
        <v>12</v>
      </c>
      <c r="DF45" s="15">
        <v>13</v>
      </c>
      <c r="DG45" s="22"/>
      <c r="DH45" s="22"/>
    </row>
    <row r="46" spans="1:112"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15">
        <v>17</v>
      </c>
      <c r="DE46" s="15">
        <v>20</v>
      </c>
      <c r="DF46" s="15">
        <v>4</v>
      </c>
      <c r="DG46" s="23"/>
      <c r="DH46" s="23"/>
    </row>
    <row r="47" spans="1:112"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15">
        <v>0</v>
      </c>
      <c r="DE47" s="15">
        <v>2</v>
      </c>
      <c r="DF47" s="15">
        <v>0</v>
      </c>
      <c r="DG47" s="23"/>
      <c r="DH47" s="23"/>
    </row>
    <row r="48" spans="1:112"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15">
        <v>14</v>
      </c>
      <c r="DE48" s="15">
        <v>4</v>
      </c>
      <c r="DF48" s="15">
        <v>4</v>
      </c>
      <c r="DG48" s="23"/>
      <c r="DH48" s="23"/>
    </row>
    <row r="49" spans="1:112" s="4" customFormat="1" ht="39.6" customHeight="1" x14ac:dyDescent="0.4">
      <c r="A49" s="3"/>
      <c r="B49" s="80"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15">
        <v>38</v>
      </c>
      <c r="DE49" s="15">
        <v>23</v>
      </c>
      <c r="DF49" s="15">
        <v>31</v>
      </c>
      <c r="DG49" s="22"/>
      <c r="DH49" s="22"/>
    </row>
    <row r="50" spans="1:112" s="4" customFormat="1" ht="39.6" customHeight="1" x14ac:dyDescent="0.4">
      <c r="B50" s="81"/>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15">
        <v>7</v>
      </c>
      <c r="DE50" s="15">
        <v>4</v>
      </c>
      <c r="DF50" s="15">
        <v>8</v>
      </c>
      <c r="DG50" s="22"/>
      <c r="DH50" s="22"/>
    </row>
    <row r="51" spans="1:112"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15">
        <v>8</v>
      </c>
      <c r="DE51" s="15">
        <v>3</v>
      </c>
      <c r="DF51" s="15">
        <v>2</v>
      </c>
      <c r="DG51" s="23"/>
      <c r="DH51" s="23"/>
    </row>
    <row r="52" spans="1:112"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15">
        <v>10</v>
      </c>
      <c r="DE52" s="15">
        <v>12</v>
      </c>
      <c r="DF52" s="15">
        <v>13</v>
      </c>
      <c r="DG52" s="23"/>
      <c r="DH52" s="23"/>
    </row>
    <row r="53" spans="1:112"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15">
        <v>25</v>
      </c>
      <c r="DE53" s="15">
        <v>35</v>
      </c>
      <c r="DF53" s="15">
        <v>25</v>
      </c>
      <c r="DG53" s="23"/>
      <c r="DH53" s="23"/>
    </row>
    <row r="54" spans="1:112"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15">
        <v>2</v>
      </c>
      <c r="DE54" s="15">
        <v>2</v>
      </c>
      <c r="DF54" s="15">
        <v>5</v>
      </c>
      <c r="DG54" s="23"/>
      <c r="DH54" s="23"/>
    </row>
    <row r="55" spans="1:112"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15">
        <v>16</v>
      </c>
      <c r="DE55" s="15">
        <v>12</v>
      </c>
      <c r="DF55" s="15">
        <v>13</v>
      </c>
      <c r="DG55" s="23"/>
      <c r="DH55" s="23"/>
    </row>
    <row r="56" spans="1:112"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15">
        <v>1</v>
      </c>
      <c r="DE56" s="15">
        <v>0</v>
      </c>
      <c r="DF56" s="15">
        <v>0</v>
      </c>
      <c r="DG56" s="23"/>
      <c r="DH56" s="23"/>
    </row>
    <row r="57" spans="1:112"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15">
        <v>2</v>
      </c>
      <c r="DE57" s="15">
        <v>3</v>
      </c>
      <c r="DF57" s="15">
        <v>0</v>
      </c>
      <c r="DG57" s="23"/>
      <c r="DH57" s="23"/>
    </row>
    <row r="58" spans="1:112"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14">
        <f t="shared" ref="DD58:DE58" si="7">SUM(DD6:DD57)</f>
        <v>2415</v>
      </c>
      <c r="DE58" s="14">
        <f t="shared" si="7"/>
        <v>2083</v>
      </c>
      <c r="DF58" s="14">
        <v>2111</v>
      </c>
      <c r="DG58" s="24"/>
      <c r="DH58" s="24"/>
    </row>
    <row r="59" spans="1:11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2"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2">
    <mergeCell ref="AM4:AM5"/>
    <mergeCell ref="AO4:AO5"/>
    <mergeCell ref="AP4:AP5"/>
    <mergeCell ref="BI4:BI5"/>
    <mergeCell ref="BH4:BH5"/>
    <mergeCell ref="BE4:BE5"/>
    <mergeCell ref="BF4:BF5"/>
    <mergeCell ref="BK4:BK5"/>
    <mergeCell ref="BN4:BN5"/>
    <mergeCell ref="BM4:BM5"/>
    <mergeCell ref="BG4:BG5"/>
    <mergeCell ref="BL4:BL5"/>
    <mergeCell ref="AR4:AR5"/>
    <mergeCell ref="BD3:CQ3"/>
    <mergeCell ref="BW4:BW5"/>
    <mergeCell ref="BX4:BX5"/>
    <mergeCell ref="CG4:CG5"/>
    <mergeCell ref="CP4:CP5"/>
    <mergeCell ref="AT4:AT5"/>
    <mergeCell ref="AU4:AU5"/>
    <mergeCell ref="AX4:AX5"/>
    <mergeCell ref="AY4:AY5"/>
    <mergeCell ref="AZ4:AZ5"/>
    <mergeCell ref="AV4:AV5"/>
    <mergeCell ref="AW4:AW5"/>
    <mergeCell ref="BA4:BA5"/>
    <mergeCell ref="BB4:BB5"/>
    <mergeCell ref="BC4:BC5"/>
    <mergeCell ref="BP4:BP5"/>
    <mergeCell ref="BO4:BO5"/>
    <mergeCell ref="CF4:CF5"/>
    <mergeCell ref="BD4:BD5"/>
    <mergeCell ref="BZ4:BZ5"/>
    <mergeCell ref="BY4:BY5"/>
    <mergeCell ref="BJ4:BJ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R3:BC3"/>
    <mergeCell ref="AL4:AL5"/>
    <mergeCell ref="AK4:AK5"/>
    <mergeCell ref="AI4:AI5"/>
    <mergeCell ref="AQ4:AQ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DB4:DB5"/>
    <mergeCell ref="DC4:DC5"/>
    <mergeCell ref="DF4:DF5"/>
    <mergeCell ref="DA4:DA5"/>
    <mergeCell ref="CM4:CM5"/>
    <mergeCell ref="CO4:CO5"/>
    <mergeCell ref="CE4:CE5"/>
    <mergeCell ref="CC4:CC5"/>
    <mergeCell ref="CN4:CN5"/>
    <mergeCell ref="CY4:CY5"/>
    <mergeCell ref="CZ4:CZ5"/>
    <mergeCell ref="CR4:CR5"/>
    <mergeCell ref="CS4:CS5"/>
    <mergeCell ref="CI4:CI5"/>
    <mergeCell ref="CH4:CH5"/>
    <mergeCell ref="BD2:DF2"/>
    <mergeCell ref="CR3:DF3"/>
    <mergeCell ref="DE4:DE5"/>
    <mergeCell ref="CX4:CX5"/>
    <mergeCell ref="CB4:CB5"/>
    <mergeCell ref="CA4:CA5"/>
    <mergeCell ref="CW4:CW5"/>
    <mergeCell ref="CV4:CV5"/>
    <mergeCell ref="DH4:DH5"/>
    <mergeCell ref="DD4:DD5"/>
    <mergeCell ref="DG4:DG5"/>
    <mergeCell ref="CL4:CL5"/>
    <mergeCell ref="CK4:CK5"/>
    <mergeCell ref="BV4:BV5"/>
    <mergeCell ref="BT4:BT5"/>
    <mergeCell ref="BS4:BS5"/>
    <mergeCell ref="BQ4:BQ5"/>
    <mergeCell ref="BR4:BR5"/>
    <mergeCell ref="BU4:BU5"/>
    <mergeCell ref="CQ4:CQ5"/>
    <mergeCell ref="CJ4:CJ5"/>
    <mergeCell ref="CD4:CD5"/>
    <mergeCell ref="CU4:CU5"/>
    <mergeCell ref="CT4:CT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2" id="{74832A3D-3E58-4A3A-9E33-9D86EFCB7C6E}">
            <xm:f>LEN(TRIM('搬送困難事案（今回）'!BP6))=0</xm:f>
            <x14:dxf>
              <fill>
                <patternFill>
                  <bgColor rgb="FFFFFF00"/>
                </patternFill>
              </fill>
            </x14:dxf>
          </x14:cfRule>
          <xm:sqref>BP6:CX57 DA6:DA9 DA11:DA57 DB6:DE57</xm:sqref>
        </x14:conditionalFormatting>
        <x14:conditionalFormatting xmlns:xm="http://schemas.microsoft.com/office/excel/2006/main">
          <x14:cfRule type="containsBlanks" priority="31"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8"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1" id="{70098C38-AF30-4403-9D23-9B707A7516E1}">
            <xm:f>LEN(TRIM('搬送困難事案（今回）'!DF6))=0</xm:f>
            <x14:dxf>
              <fill>
                <patternFill>
                  <bgColor rgb="FFFFFF00"/>
                </patternFill>
              </fill>
            </x14:dxf>
          </x14:cfRule>
          <xm:sqref>DF6:DF57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2023-04-17T08:30:38Z</cp:lastPrinted>
  <dcterms:created xsi:type="dcterms:W3CDTF">2020-05-05T13:26:16Z</dcterms:created>
  <dcterms:modified xsi:type="dcterms:W3CDTF">2023-04-18T01:51:26Z</dcterms:modified>
</cp:coreProperties>
</file>