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201904_W-119_2019年度消防庁HP更新\03_支給資材・原稿\JOB050314-2\ＪＯＢ050314-2\アップ用\"/>
    </mc:Choice>
  </mc:AlternateContent>
  <bookViews>
    <workbookView xWindow="0" yWindow="0" windowWidth="19965" windowHeight="1068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'うちコロナ疑い事案（今回）'!$A$1:$DA$67</definedName>
    <definedName name="_xlnm.Print_Area" localSheetId="3">'うち非コロナ疑い事案（今回）'!$A$1:$DA$67</definedName>
    <definedName name="_xlnm.Print_Area" localSheetId="0">'搬送困難事案（今回）'!$A$1:$FA$65</definedName>
    <definedName name="_xlnm.Print_Area" localSheetId="1">'搬送困難事案（前年同期）'!$A$1:$FA$65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A58" i="43" l="1"/>
  <c r="DA58" i="45"/>
  <c r="DA58" i="44"/>
  <c r="FA58" i="42"/>
  <c r="CY58" i="45" l="1"/>
  <c r="CY58" i="44"/>
  <c r="EY58" i="43"/>
  <c r="EY58" i="42"/>
  <c r="CZ58" i="45" l="1"/>
  <c r="CZ58" i="44"/>
  <c r="EZ58" i="43"/>
  <c r="EZ58" i="42"/>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<sst xmlns="http://schemas.openxmlformats.org/spreadsheetml/2006/main" count="960" uniqueCount="435">
  <si>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</si>
  <si>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</si>
  <si>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</si>
  <si>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</si>
  <si>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</si>
  <si>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</si>
  <si>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</si>
  <si>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</si>
  <si>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</si>
  <si>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</si>
  <si>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</si>
  <si>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</si>
  <si>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</si>
  <si>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</si>
  <si>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</si>
  <si>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</si>
  <si>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</si>
  <si>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</si>
  <si>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</si>
  <si>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</si>
  <si>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</si>
  <si>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</si>
  <si>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</si>
  <si>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</si>
  <si>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</si>
  <si>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</si>
  <si>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</si>
  <si>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</si>
  <si>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</si>
  <si>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</si>
  <si>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</si>
  <si>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</si>
  <si>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</si>
  <si>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</si>
  <si>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</si>
  <si>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</si>
  <si>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</si>
  <si>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</si>
  <si>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</si>
  <si>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</si>
  <si>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</si>
  <si>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</si>
  <si>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</si>
  <si>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</si>
  <si>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</si>
  <si>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</si>
  <si>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</si>
  <si>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</si>
  <si>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</si>
  <si>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</si>
  <si>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</si>
  <si>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</si>
  <si>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</si>
  <si>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</si>
  <si>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</si>
  <si>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</si>
  <si>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</si>
  <si>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</si>
  <si>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</si>
  <si>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</si>
  <si>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</si>
  <si>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</si>
  <si>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</si>
  <si>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</si>
  <si>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</si>
  <si>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</si>
  <si>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</si>
  <si>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</si>
  <si>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</si>
  <si>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</si>
  <si>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</si>
  <si>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</si>
  <si>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</si>
  <si>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</si>
  <si>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</si>
  <si>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</si>
  <si>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</si>
  <si>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</si>
  <si>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</si>
  <si>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</si>
  <si>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</si>
  <si>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</si>
  <si>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</si>
  <si>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</si>
  <si>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</si>
  <si>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</si>
  <si>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</si>
  <si>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</si>
  <si>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</si>
  <si>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</si>
  <si>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</si>
  <si>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</si>
  <si>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</si>
  <si>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</si>
  <si>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</si>
  <si>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</si>
  <si>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</si>
  <si>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</si>
  <si>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</si>
  <si>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</si>
  <si>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</si>
  <si>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</si>
  <si>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</si>
  <si>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</si>
  <si>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</si>
  <si>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</si>
  <si>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</si>
  <si>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</si>
  <si>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</si>
  <si>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</si>
  <si>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</si>
  <si>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</si>
  <si>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</si>
  <si>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</si>
  <si>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</si>
  <si>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</si>
  <si>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</si>
  <si>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</si>
  <si>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</si>
  <si>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</si>
  <si>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</si>
  <si>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</si>
  <si>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</si>
  <si>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</si>
  <si>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</si>
  <si>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</si>
  <si>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</si>
  <si>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</si>
  <si>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</si>
  <si>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</si>
  <si>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</si>
  <si>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</si>
  <si>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</si>
  <si>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</si>
  <si>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</si>
  <si>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</si>
  <si>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</si>
  <si>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</si>
  <si>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</si>
  <si>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</si>
  <si>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</si>
  <si>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</si>
  <si>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</si>
  <si>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</si>
  <si>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</si>
  <si>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</si>
  <si>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</si>
  <si>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</si>
  <si>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</si>
  <si>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</si>
  <si>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</si>
  <si>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</si>
  <si>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</si>
  <si>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</si>
  <si>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</si>
  <si>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</si>
  <si>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</si>
  <si>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</si>
  <si>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</si>
  <si>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</si>
  <si>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</si>
  <si>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</si>
  <si>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</si>
  <si>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</si>
  <si>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</si>
  <si>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</si>
  <si>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</si>
  <si>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</si>
  <si>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</si>
  <si>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</si>
  <si>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</si>
  <si>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</si>
  <si>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</si>
  <si>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</si>
  <si>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</si>
  <si>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</si>
  <si>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</si>
  <si>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</si>
  <si>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</si>
  <si>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</si>
  <si>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</si>
  <si>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</si>
  <si>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</si>
  <si>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</si>
  <si>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</si>
  <si>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</si>
  <si>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</si>
  <si>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</si>
  <si>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</si>
  <si>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</si>
  <si>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</si>
  <si>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</si>
  <si>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</si>
  <si>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</si>
  <si>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</si>
  <si>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</si>
  <si>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</si>
  <si>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</si>
  <si>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</si>
  <si>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</si>
  <si>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</si>
  <si>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</si>
  <si>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</si>
  <si>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</si>
  <si>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</si>
  <si>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</si>
  <si>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</si>
  <si>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</si>
  <si>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</si>
  <si>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</si>
  <si>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</si>
  <si>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</si>
  <si>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</si>
  <si>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</si>
  <si>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</si>
  <si>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</si>
  <si>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</si>
  <si>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</si>
  <si>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</si>
  <si>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</si>
  <si>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</si>
  <si>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</si>
  <si>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</si>
  <si>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</si>
  <si>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</si>
  <si>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</si>
  <si>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</si>
  <si>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</si>
  <si>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</si>
  <si>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</si>
  <si>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</si>
  <si>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</si>
  <si>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</si>
  <si>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</si>
  <si>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</si>
  <si>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</si>
  <si>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</si>
  <si>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</si>
  <si>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</si>
  <si>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</si>
  <si>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</si>
  <si>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</si>
  <si>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</si>
  <si>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</si>
  <si>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</si>
  <si>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</si>
  <si>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</si>
  <si>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</si>
  <si>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</si>
  <si>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</si>
  <si>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</si>
  <si>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</si>
  <si>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</si>
  <si>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</si>
  <si>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</si>
  <si>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</si>
  <si>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</si>
  <si>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</si>
  <si>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</si>
  <si>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</si>
  <si>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</si>
  <si>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</si>
  <si>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</si>
  <si>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</si>
  <si>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</si>
  <si>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</si>
  <si>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</si>
  <si>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</si>
  <si>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</si>
  <si>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</si>
  <si>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</si>
  <si>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</si>
  <si>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</si>
  <si>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</si>
  <si>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</si>
  <si>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</si>
  <si>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</si>
  <si>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</si>
  <si>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</si>
  <si>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</si>
  <si>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</si>
  <si>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</si>
  <si>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</si>
  <si>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</si>
  <si>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</si>
  <si>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</si>
  <si>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</si>
  <si>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</si>
  <si>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</si>
  <si>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</si>
  <si>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</si>
  <si>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</si>
  <si>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</si>
  <si>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</si>
  <si>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</si>
  <si>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</si>
  <si>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</si>
  <si>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</si>
  <si>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</si>
  <si>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</si>
  <si>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</si>
  <si>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</si>
  <si>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</si>
  <si>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</si>
  <si>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</si>
  <si>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</si>
  <si>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</si>
  <si>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</si>
  <si>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</si>
  <si>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</si>
  <si>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</si>
  <si>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</si>
  <si>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</si>
  <si>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</si>
  <si>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</si>
  <si>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</si>
  <si>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</si>
  <si>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</si>
  <si>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</si>
  <si>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</si>
  <si>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</si>
  <si>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</si>
  <si>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</si>
  <si>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</si>
  <si>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</si>
  <si>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</si>
  <si>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</si>
  <si>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</si>
  <si>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</si>
  <si>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</si>
  <si>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</si>
  <si>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</si>
  <si>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</si>
  <si>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</si>
  <si>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</si>
  <si>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</si>
  <si>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</si>
  <si>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</si>
  <si>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</si>
  <si>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</si>
  <si>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</si>
  <si>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</si>
  <si>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</si>
  <si>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</si>
  <si>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</si>
  <si>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</si>
  <si>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</si>
  <si>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</si>
  <si>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</si>
  <si>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</si>
  <si>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</si>
  <si>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</si>
  <si>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</si>
  <si>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</si>
  <si>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</si>
  <si>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</si>
  <si>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</si>
  <si>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</si>
  <si>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</si>
  <si>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</si>
  <si>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</si>
  <si>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</si>
  <si>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</si>
  <si>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</si>
  <si>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</si>
  <si>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</si>
  <si>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</si>
  <si>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</si>
  <si>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</si>
  <si>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</si>
  <si>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</si>
  <si>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</si>
  <si>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</si>
  <si>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</si>
  <si>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</si>
  <si>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</si>
  <si>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</si>
  <si>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</si>
  <si>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</si>
  <si>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</si>
  <si>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</si>
  <si>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</si>
  <si>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</si>
  <si>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</si>
  <si>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</si>
  <si>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</si>
  <si>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</si>
  <si>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</si>
  <si>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</si>
  <si>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</si>
  <si>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</si>
  <si>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</si>
  <si>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</si>
  <si>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</si>
  <si>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</si>
  <si>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</si>
  <si>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</si>
  <si>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</si>
  <si>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</si>
  <si>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</si>
  <si>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</si>
  <si>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</si>
  <si>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</si>
  <si>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</si>
  <si>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</si>
  <si>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</si>
  <si>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</si>
  <si>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</si>
  <si>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</si>
  <si>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</si>
  <si>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</si>
  <si>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</si>
  <si>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</si>
  <si>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</si>
  <si>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</si>
  <si>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</si>
  <si>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</si>
  <si>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</si>
  <si>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</si>
  <si>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</si>
  <si>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</si>
  <si>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</si>
  <si>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</si>
  <si>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</si>
  <si>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</si>
  <si>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</si>
  <si>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</si>
  <si>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</si>
  <si>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</si>
  <si>
    <t>2/20(月)～
2/26(日)分
【2月第4週】</t>
    <phoneticPr fontId="2"/>
  </si>
  <si>
    <t>2/21(月)～
2/27(日)分
【2月第4週】</t>
    <phoneticPr fontId="2"/>
  </si>
  <si>
    <t>2/28(月)～
3/6(日)分
【2月第5週･
3月第1週】</t>
    <phoneticPr fontId="2"/>
  </si>
  <si>
    <t>2/27(月)～
3/5(日)分
【2月第5週･
3月第1週】</t>
    <phoneticPr fontId="2"/>
  </si>
  <si>
    <t>3/6(月)～
3/12(日)分
【3月第2週】</t>
    <phoneticPr fontId="2"/>
  </si>
  <si>
    <t>3/7(月)～
3/13(日)分
【3月第2週】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</si>
</sst>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88">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1" xfId="0" applyFont="1" applyBorder="1" applyAlignment="1">
      <alignment horizontal="center" vertical="center" wrapText="1"/>
    </xf>
    <xf numFmtId="0" fontId="12" fillId="0" borderId="1" xfId="0" applyFont="1" applyBorder="1" applyAlignment="1">
      <alignment horizontal="center" vertical="center"/>
    </xf>
    <xf numFmtId="0" fontId="20" fillId="0" borderId="1" xfId="0" applyFont="1" applyBorder="1" applyAlignment="1">
      <alignment horizontal="center" vertical="center"/>
    </xf>
    <xf numFmtId="0" fontId="12" fillId="0" borderId="10" xfId="0" applyFont="1" applyBorder="1" applyAlignment="1">
      <alignment horizontal="center" vertical="center"/>
    </xf>
    <xf numFmtId="0" fontId="20" fillId="0" borderId="2" xfId="0" applyFont="1" applyBorder="1" applyAlignment="1">
      <alignment horizontal="center" vertical="center" wrapText="1"/>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1"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19" fillId="0" borderId="10" xfId="0" applyFont="1"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20" fillId="0" borderId="8" xfId="0" applyFont="1" applyFill="1" applyBorder="1" applyAlignment="1">
      <alignment horizontal="center" vertical="center" wrapText="1" shrinkToFit="1"/>
    </xf>
    <xf numFmtId="0" fontId="20" fillId="0" borderId="8" xfId="0" applyFont="1" applyBorder="1" applyAlignment="1">
      <alignment horizontal="center" vertical="center" wrapText="1" shrinkToFi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19" fillId="0" borderId="1" xfId="0" applyFont="1" applyBorder="1" applyAlignment="1">
      <alignment horizontal="center" vertical="center"/>
    </xf>
    <xf numFmtId="0" fontId="20" fillId="0" borderId="8" xfId="0" applyFont="1" applyBorder="1" applyAlignment="1">
      <alignment horizontal="center" vertical="center" wrapText="1"/>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4" fillId="0" borderId="9"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9" fillId="0" borderId="12" xfId="0" applyFont="1" applyBorder="1" applyAlignment="1">
      <alignment horizontal="center" vertical="center"/>
    </xf>
    <xf numFmtId="0" fontId="0" fillId="0" borderId="7" xfId="0" applyBorder="1" applyAlignment="1">
      <alignment horizontal="right" vertical="center"/>
    </xf>
    <xf numFmtId="0" fontId="12" fillId="0" borderId="2" xfId="0" applyFont="1" applyBorder="1" applyAlignment="1">
      <alignment horizontal="center" vertical="center"/>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18">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B61"/>
  <sheetViews>
    <sheetView tabSelected="1" view="pageBreakPreview" zoomScale="70" zoomScaleNormal="70" zoomScaleSheetLayoutView="70" workbookViewId="0">
      <pane xSplit="3" ySplit="5" topLeftCell="EM6" activePane="bottomRight" state="frozen"/>
      <selection pane="topRight" activeCell="D1" sqref="D1"/>
      <selection pane="bottomLeft" activeCell="A5" sqref="A5"/>
      <selection pane="bottomRight" activeCell="FA4" sqref="FA4:FA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57" width="10.875" style="1" customWidth="1"/>
    <col min="158" max="16384" width="8.625" style="1"/>
  </cols>
  <sheetData>
    <row r="1" spans="1:158"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t="s">
        <v>290</v>
      </c>
    </row>
    <row r="2" spans="1:158" ht="33" x14ac:dyDescent="0.4">
      <c r="B2" s="59"/>
      <c r="C2" s="60"/>
      <c r="D2" s="58" t="s">
        <v>153</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51"/>
      <c r="BD2" s="51" t="s">
        <v>320</v>
      </c>
      <c r="BE2" s="51"/>
      <c r="BF2" s="51"/>
      <c r="BG2" s="51"/>
      <c r="BH2" s="51"/>
      <c r="BI2" s="51"/>
      <c r="BJ2" s="51"/>
      <c r="BK2" s="51"/>
      <c r="BL2" s="51"/>
      <c r="BM2" s="51"/>
      <c r="BN2" s="51"/>
      <c r="BO2" s="51"/>
      <c r="BP2" s="51"/>
      <c r="BQ2" s="51"/>
      <c r="BR2" s="51"/>
      <c r="BS2" s="51"/>
      <c r="BT2" s="51"/>
      <c r="BU2" s="51"/>
      <c r="BV2" s="51"/>
      <c r="BW2" s="51"/>
      <c r="BX2" s="51"/>
      <c r="BY2" s="51"/>
      <c r="BZ2" s="51"/>
      <c r="CA2" s="51"/>
      <c r="CB2" s="51"/>
      <c r="CC2" s="51"/>
      <c r="CD2" s="51"/>
      <c r="CE2" s="51"/>
      <c r="CF2" s="51"/>
      <c r="CG2" s="51"/>
      <c r="CH2" s="51"/>
      <c r="CI2" s="51"/>
      <c r="CJ2" s="51"/>
      <c r="CK2" s="51"/>
      <c r="CL2" s="51"/>
      <c r="CM2" s="51"/>
      <c r="CN2" s="51"/>
      <c r="CO2" s="51"/>
      <c r="CP2" s="51"/>
      <c r="CQ2" s="51"/>
      <c r="CR2" s="51"/>
      <c r="CS2" s="51"/>
      <c r="CT2" s="51"/>
      <c r="CU2" s="51"/>
      <c r="CV2" s="51"/>
      <c r="CW2" s="51"/>
      <c r="CX2" s="51"/>
      <c r="CY2" s="51"/>
      <c r="CZ2" s="51"/>
      <c r="DA2" s="51"/>
      <c r="DB2" s="51"/>
      <c r="DC2" s="51"/>
      <c r="DD2" s="51"/>
      <c r="DE2" s="73" t="s">
        <v>320</v>
      </c>
      <c r="DF2" s="73"/>
      <c r="DG2" s="73"/>
      <c r="DH2" s="73"/>
      <c r="DI2" s="73"/>
      <c r="DJ2" s="73"/>
      <c r="DK2" s="73"/>
      <c r="DL2" s="73"/>
      <c r="DM2" s="73"/>
      <c r="DN2" s="73"/>
      <c r="DO2" s="73"/>
      <c r="DP2" s="73"/>
      <c r="DQ2" s="73"/>
      <c r="DR2" s="73"/>
      <c r="DS2" s="73"/>
      <c r="DT2" s="73"/>
      <c r="DU2" s="73"/>
      <c r="DV2" s="73"/>
      <c r="DW2" s="73"/>
      <c r="DX2" s="73"/>
      <c r="DY2" s="73"/>
      <c r="DZ2" s="73"/>
      <c r="EA2" s="73"/>
      <c r="EB2" s="73"/>
      <c r="EC2" s="73"/>
      <c r="ED2" s="73"/>
      <c r="EE2" s="73"/>
      <c r="EF2" s="73"/>
      <c r="EG2" s="73"/>
      <c r="EH2" s="73"/>
      <c r="EI2" s="73"/>
      <c r="EJ2" s="73"/>
      <c r="EK2" s="73"/>
      <c r="EL2" s="73"/>
      <c r="EM2" s="73"/>
      <c r="EN2" s="73"/>
      <c r="EO2" s="73"/>
      <c r="EP2" s="73"/>
      <c r="EQ2" s="73"/>
      <c r="ER2" s="73"/>
      <c r="ES2" s="73"/>
      <c r="ET2" s="73"/>
      <c r="EU2" s="73"/>
      <c r="EV2" s="73"/>
      <c r="EW2" s="73"/>
      <c r="EX2" s="73"/>
      <c r="EY2" s="73"/>
      <c r="EZ2" s="73"/>
      <c r="FA2" s="73"/>
    </row>
    <row r="3" spans="1:158" ht="27.95" customHeight="1" x14ac:dyDescent="0.4">
      <c r="B3" s="61"/>
      <c r="C3" s="62"/>
      <c r="D3" s="45" t="s">
        <v>282</v>
      </c>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7" t="s">
        <v>216</v>
      </c>
      <c r="AS3" s="52"/>
      <c r="AT3" s="52"/>
      <c r="AU3" s="52"/>
      <c r="AV3" s="52"/>
      <c r="AW3" s="52"/>
      <c r="AX3" s="52"/>
      <c r="AY3" s="52"/>
      <c r="AZ3" s="52"/>
      <c r="BA3" s="52"/>
      <c r="BB3" s="52"/>
      <c r="BC3" s="52"/>
      <c r="BD3" s="52" t="s">
        <v>216</v>
      </c>
      <c r="BE3" s="52"/>
      <c r="BF3" s="52"/>
      <c r="BG3" s="52"/>
      <c r="BH3" s="52"/>
      <c r="BI3" s="52"/>
      <c r="BJ3" s="52"/>
      <c r="BK3" s="52"/>
      <c r="BL3" s="52"/>
      <c r="BM3" s="52"/>
      <c r="BN3" s="52"/>
      <c r="BO3" s="52"/>
      <c r="BP3" s="52"/>
      <c r="BQ3" s="52"/>
      <c r="BR3" s="52"/>
      <c r="BS3" s="52"/>
      <c r="BT3" s="52"/>
      <c r="BU3" s="52"/>
      <c r="BV3" s="52"/>
      <c r="BW3" s="52"/>
      <c r="BX3" s="52"/>
      <c r="BY3" s="52"/>
      <c r="BZ3" s="52"/>
      <c r="CA3" s="52"/>
      <c r="CB3" s="52"/>
      <c r="CC3" s="52"/>
      <c r="CD3" s="52"/>
      <c r="CE3" s="52"/>
      <c r="CF3" s="52"/>
      <c r="CG3" s="52"/>
      <c r="CH3" s="52"/>
      <c r="CI3" s="52"/>
      <c r="CJ3" s="52"/>
      <c r="CK3" s="52"/>
      <c r="CL3" s="52"/>
      <c r="CM3" s="52"/>
      <c r="CN3" s="52"/>
      <c r="CO3" s="52"/>
      <c r="CP3" s="52"/>
      <c r="CQ3" s="53"/>
      <c r="CR3" s="45" t="s">
        <v>278</v>
      </c>
      <c r="CS3" s="45"/>
      <c r="CT3" s="45"/>
      <c r="CU3" s="45"/>
      <c r="CV3" s="45"/>
      <c r="CW3" s="45"/>
      <c r="CX3" s="45"/>
      <c r="CY3" s="45"/>
      <c r="CZ3" s="45"/>
      <c r="DA3" s="45"/>
      <c r="DB3" s="45"/>
      <c r="DC3" s="45"/>
      <c r="DD3" s="47"/>
      <c r="DE3" s="45" t="s">
        <v>278</v>
      </c>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415</v>
      </c>
      <c r="ES3" s="45"/>
      <c r="ET3" s="45"/>
      <c r="EU3" s="45"/>
      <c r="EV3" s="45"/>
      <c r="EW3" s="45"/>
      <c r="EX3" s="45"/>
      <c r="EY3" s="45"/>
      <c r="EZ3" s="45"/>
      <c r="FA3" s="45"/>
    </row>
    <row r="4" spans="1:158" ht="20.45" customHeight="1" x14ac:dyDescent="0.4">
      <c r="B4" s="65" t="s">
        <v>0</v>
      </c>
      <c r="C4" s="71" t="s">
        <v>1</v>
      </c>
      <c r="D4" s="64" t="s">
        <v>149</v>
      </c>
      <c r="E4" s="64" t="s">
        <v>150</v>
      </c>
      <c r="F4" s="64" t="s">
        <v>151</v>
      </c>
      <c r="G4" s="64" t="s">
        <v>152</v>
      </c>
      <c r="H4" s="64" t="s">
        <v>148</v>
      </c>
      <c r="I4" s="64" t="s">
        <v>100</v>
      </c>
      <c r="J4" s="64" t="s">
        <v>101</v>
      </c>
      <c r="K4" s="64" t="s">
        <v>102</v>
      </c>
      <c r="L4" s="64" t="s">
        <v>103</v>
      </c>
      <c r="M4" s="64" t="s">
        <v>104</v>
      </c>
      <c r="N4" s="64" t="s">
        <v>105</v>
      </c>
      <c r="O4" s="64" t="s">
        <v>106</v>
      </c>
      <c r="P4" s="64" t="s">
        <v>110</v>
      </c>
      <c r="Q4" s="64" t="s">
        <v>147</v>
      </c>
      <c r="R4" s="63" t="s">
        <v>107</v>
      </c>
      <c r="S4" s="64" t="s">
        <v>108</v>
      </c>
      <c r="T4" s="64" t="s">
        <v>109</v>
      </c>
      <c r="U4" s="63" t="s">
        <v>146</v>
      </c>
      <c r="V4" s="63" t="s">
        <v>111</v>
      </c>
      <c r="W4" s="63" t="s">
        <v>112</v>
      </c>
      <c r="X4" s="63" t="s">
        <v>113</v>
      </c>
      <c r="Y4" s="63" t="s">
        <v>114</v>
      </c>
      <c r="Z4" s="63" t="s">
        <v>145</v>
      </c>
      <c r="AA4" s="64" t="s">
        <v>115</v>
      </c>
      <c r="AB4" s="64" t="s">
        <v>116</v>
      </c>
      <c r="AC4" s="64" t="s">
        <v>117</v>
      </c>
      <c r="AD4" s="64" t="s">
        <v>144</v>
      </c>
      <c r="AE4" s="64" t="s">
        <v>139</v>
      </c>
      <c r="AF4" s="64" t="s">
        <v>118</v>
      </c>
      <c r="AG4" s="64" t="s">
        <v>119</v>
      </c>
      <c r="AH4" s="64" t="s">
        <v>141</v>
      </c>
      <c r="AI4" s="64" t="s">
        <v>120</v>
      </c>
      <c r="AJ4" s="64" t="s">
        <v>121</v>
      </c>
      <c r="AK4" s="64" t="s">
        <v>122</v>
      </c>
      <c r="AL4" s="64" t="s">
        <v>123</v>
      </c>
      <c r="AM4" s="64" t="s">
        <v>143</v>
      </c>
      <c r="AN4" s="64" t="s">
        <v>124</v>
      </c>
      <c r="AO4" s="64" t="s">
        <v>125</v>
      </c>
      <c r="AP4" s="64" t="s">
        <v>126</v>
      </c>
      <c r="AQ4" s="64" t="s">
        <v>142</v>
      </c>
      <c r="AR4" s="55" t="s">
        <v>127</v>
      </c>
      <c r="AS4" s="55" t="s">
        <v>128</v>
      </c>
      <c r="AT4" s="55" t="s">
        <v>129</v>
      </c>
      <c r="AU4" s="55" t="s">
        <v>130</v>
      </c>
      <c r="AV4" s="55" t="s">
        <v>131</v>
      </c>
      <c r="AW4" s="55" t="s">
        <v>132</v>
      </c>
      <c r="AX4" s="55" t="s">
        <v>133</v>
      </c>
      <c r="AY4" s="55" t="s">
        <v>134</v>
      </c>
      <c r="AZ4" s="55" t="s">
        <v>135</v>
      </c>
      <c r="BA4" s="55" t="s">
        <v>136</v>
      </c>
      <c r="BB4" s="55" t="s">
        <v>137</v>
      </c>
      <c r="BC4" s="55" t="s">
        <v>138</v>
      </c>
      <c r="BD4" s="54" t="s">
        <v>245</v>
      </c>
      <c r="BE4" s="54" t="s">
        <v>206</v>
      </c>
      <c r="BF4" s="54" t="s">
        <v>205</v>
      </c>
      <c r="BG4" s="54" t="s">
        <v>207</v>
      </c>
      <c r="BH4" s="54" t="s">
        <v>244</v>
      </c>
      <c r="BI4" s="54" t="s">
        <v>208</v>
      </c>
      <c r="BJ4" s="54" t="s">
        <v>209</v>
      </c>
      <c r="BK4" s="54" t="s">
        <v>210</v>
      </c>
      <c r="BL4" s="56" t="s">
        <v>211</v>
      </c>
      <c r="BM4" s="56" t="s">
        <v>243</v>
      </c>
      <c r="BN4" s="54" t="s">
        <v>212</v>
      </c>
      <c r="BO4" s="54" t="s">
        <v>213</v>
      </c>
      <c r="BP4" s="54" t="s">
        <v>214</v>
      </c>
      <c r="BQ4" s="54" t="s">
        <v>215</v>
      </c>
      <c r="BR4" s="54" t="s">
        <v>218</v>
      </c>
      <c r="BS4" s="54" t="s">
        <v>219</v>
      </c>
      <c r="BT4" s="54" t="s">
        <v>220</v>
      </c>
      <c r="BU4" s="56" t="s">
        <v>221</v>
      </c>
      <c r="BV4" s="56" t="s">
        <v>222</v>
      </c>
      <c r="BW4" s="56" t="s">
        <v>223</v>
      </c>
      <c r="BX4" s="56" t="s">
        <v>224</v>
      </c>
      <c r="BY4" s="56" t="s">
        <v>225</v>
      </c>
      <c r="BZ4" s="54" t="s">
        <v>226</v>
      </c>
      <c r="CA4" s="54" t="s">
        <v>227</v>
      </c>
      <c r="CB4" s="54" t="s">
        <v>228</v>
      </c>
      <c r="CC4" s="54" t="s">
        <v>229</v>
      </c>
      <c r="CD4" s="54" t="s">
        <v>230</v>
      </c>
      <c r="CE4" s="48" t="s">
        <v>252</v>
      </c>
      <c r="CF4" s="48" t="s">
        <v>254</v>
      </c>
      <c r="CG4" s="48" t="s">
        <v>256</v>
      </c>
      <c r="CH4" s="48" t="s">
        <v>258</v>
      </c>
      <c r="CI4" s="48" t="s">
        <v>260</v>
      </c>
      <c r="CJ4" s="48" t="s">
        <v>262</v>
      </c>
      <c r="CK4" s="48" t="s">
        <v>264</v>
      </c>
      <c r="CL4" s="48" t="s">
        <v>266</v>
      </c>
      <c r="CM4" s="48" t="s">
        <v>268</v>
      </c>
      <c r="CN4" s="48" t="s">
        <v>270</v>
      </c>
      <c r="CO4" s="48" t="s">
        <v>272</v>
      </c>
      <c r="CP4" s="48" t="s">
        <v>274</v>
      </c>
      <c r="CQ4" s="48" t="s">
        <v>276</v>
      </c>
      <c r="CR4" s="48" t="s">
        <v>279</v>
      </c>
      <c r="CS4" s="48" t="s">
        <v>284</v>
      </c>
      <c r="CT4" s="48" t="s">
        <v>286</v>
      </c>
      <c r="CU4" s="48" t="s">
        <v>288</v>
      </c>
      <c r="CV4" s="48" t="s">
        <v>291</v>
      </c>
      <c r="CW4" s="48" t="s">
        <v>292</v>
      </c>
      <c r="CX4" s="48" t="s">
        <v>294</v>
      </c>
      <c r="CY4" s="48" t="s">
        <v>296</v>
      </c>
      <c r="CZ4" s="48" t="s">
        <v>306</v>
      </c>
      <c r="DA4" s="48" t="s">
        <v>299</v>
      </c>
      <c r="DB4" s="48" t="s">
        <v>302</v>
      </c>
      <c r="DC4" s="48" t="s">
        <v>303</v>
      </c>
      <c r="DD4" s="49" t="s">
        <v>305</v>
      </c>
      <c r="DE4" s="44" t="s">
        <v>308</v>
      </c>
      <c r="DF4" s="44" t="s">
        <v>310</v>
      </c>
      <c r="DG4" s="44" t="s">
        <v>312</v>
      </c>
      <c r="DH4" s="44" t="s">
        <v>315</v>
      </c>
      <c r="DI4" s="44" t="s">
        <v>316</v>
      </c>
      <c r="DJ4" s="44" t="s">
        <v>318</v>
      </c>
      <c r="DK4" s="44" t="s">
        <v>326</v>
      </c>
      <c r="DL4" s="44" t="s">
        <v>328</v>
      </c>
      <c r="DM4" s="44" t="s">
        <v>330</v>
      </c>
      <c r="DN4" s="44" t="s">
        <v>332</v>
      </c>
      <c r="DO4" s="44" t="s">
        <v>334</v>
      </c>
      <c r="DP4" s="44" t="s">
        <v>336</v>
      </c>
      <c r="DQ4" s="44" t="s">
        <v>338</v>
      </c>
      <c r="DR4" s="44" t="s">
        <v>341</v>
      </c>
      <c r="DS4" s="44" t="s">
        <v>345</v>
      </c>
      <c r="DT4" s="44" t="s">
        <v>349</v>
      </c>
      <c r="DU4" s="44" t="s">
        <v>352</v>
      </c>
      <c r="DV4" s="44" t="s">
        <v>354</v>
      </c>
      <c r="DW4" s="44" t="s">
        <v>357</v>
      </c>
      <c r="DX4" s="44" t="s">
        <v>359</v>
      </c>
      <c r="DY4" s="44" t="s">
        <v>361</v>
      </c>
      <c r="DZ4" s="44" t="s">
        <v>363</v>
      </c>
      <c r="EA4" s="44" t="s">
        <v>371</v>
      </c>
      <c r="EB4" s="44" t="s">
        <v>375</v>
      </c>
      <c r="EC4" s="44" t="s">
        <v>379</v>
      </c>
      <c r="ED4" s="44" t="s">
        <v>381</v>
      </c>
      <c r="EE4" s="44" t="s">
        <v>384</v>
      </c>
      <c r="EF4" s="44" t="s">
        <v>386</v>
      </c>
      <c r="EG4" s="44" t="s">
        <v>389</v>
      </c>
      <c r="EH4" s="44" t="s">
        <v>391</v>
      </c>
      <c r="EI4" s="44" t="s">
        <v>393</v>
      </c>
      <c r="EJ4" s="44" t="s">
        <v>395</v>
      </c>
      <c r="EK4" s="44" t="s">
        <v>398</v>
      </c>
      <c r="EL4" s="44" t="s">
        <v>400</v>
      </c>
      <c r="EM4" s="44" t="s">
        <v>402</v>
      </c>
      <c r="EN4" s="44" t="s">
        <v>404</v>
      </c>
      <c r="EO4" s="44" t="s">
        <v>407</v>
      </c>
      <c r="EP4" s="44" t="s">
        <v>409</v>
      </c>
      <c r="EQ4" s="44" t="s">
        <v>411</v>
      </c>
      <c r="ER4" s="44" t="s">
        <v>412</v>
      </c>
      <c r="ES4" s="44" t="s">
        <v>416</v>
      </c>
      <c r="ET4" s="44" t="s">
        <v>418</v>
      </c>
      <c r="EU4" s="44" t="s">
        <v>420</v>
      </c>
      <c r="EV4" s="44" t="s">
        <v>422</v>
      </c>
      <c r="EW4" s="44" t="s">
        <v>424</v>
      </c>
      <c r="EX4" s="44" t="s">
        <v>427</v>
      </c>
      <c r="EY4" s="44" t="s">
        <v>429</v>
      </c>
      <c r="EZ4" s="44" t="s">
        <v>432</v>
      </c>
      <c r="FA4" s="44" t="s">
        <v>433</v>
      </c>
    </row>
    <row r="5" spans="1:158" ht="54" customHeight="1" x14ac:dyDescent="0.4">
      <c r="B5" s="66"/>
      <c r="C5" s="72"/>
      <c r="D5" s="54"/>
      <c r="E5" s="54"/>
      <c r="F5" s="54"/>
      <c r="G5" s="54"/>
      <c r="H5" s="54"/>
      <c r="I5" s="54"/>
      <c r="J5" s="54"/>
      <c r="K5" s="54"/>
      <c r="L5" s="54"/>
      <c r="M5" s="54"/>
      <c r="N5" s="54"/>
      <c r="O5" s="54"/>
      <c r="P5" s="54"/>
      <c r="Q5" s="54"/>
      <c r="R5" s="56"/>
      <c r="S5" s="54"/>
      <c r="T5" s="54"/>
      <c r="U5" s="56"/>
      <c r="V5" s="56"/>
      <c r="W5" s="56"/>
      <c r="X5" s="56"/>
      <c r="Y5" s="56"/>
      <c r="Z5" s="56"/>
      <c r="AA5" s="54"/>
      <c r="AB5" s="54"/>
      <c r="AC5" s="54"/>
      <c r="AD5" s="54"/>
      <c r="AE5" s="54"/>
      <c r="AF5" s="54"/>
      <c r="AG5" s="54"/>
      <c r="AH5" s="54"/>
      <c r="AI5" s="54"/>
      <c r="AJ5" s="54"/>
      <c r="AK5" s="54"/>
      <c r="AL5" s="54"/>
      <c r="AM5" s="54"/>
      <c r="AN5" s="54"/>
      <c r="AO5" s="54"/>
      <c r="AP5" s="54"/>
      <c r="AQ5" s="54"/>
      <c r="AR5" s="55"/>
      <c r="AS5" s="55"/>
      <c r="AT5" s="55"/>
      <c r="AU5" s="55"/>
      <c r="AV5" s="55"/>
      <c r="AW5" s="55"/>
      <c r="AX5" s="55"/>
      <c r="AY5" s="55"/>
      <c r="AZ5" s="55"/>
      <c r="BA5" s="55"/>
      <c r="BB5" s="55"/>
      <c r="BC5" s="55"/>
      <c r="BD5" s="55"/>
      <c r="BE5" s="55"/>
      <c r="BF5" s="55"/>
      <c r="BG5" s="55"/>
      <c r="BH5" s="55"/>
      <c r="BI5" s="55"/>
      <c r="BJ5" s="55"/>
      <c r="BK5" s="55"/>
      <c r="BL5" s="57"/>
      <c r="BM5" s="57"/>
      <c r="BN5" s="55"/>
      <c r="BO5" s="55"/>
      <c r="BP5" s="55"/>
      <c r="BQ5" s="55"/>
      <c r="BR5" s="55"/>
      <c r="BS5" s="55"/>
      <c r="BT5" s="55"/>
      <c r="BU5" s="57"/>
      <c r="BV5" s="57"/>
      <c r="BW5" s="57"/>
      <c r="BX5" s="57"/>
      <c r="BY5" s="57"/>
      <c r="BZ5" s="55"/>
      <c r="CA5" s="55"/>
      <c r="CB5" s="55"/>
      <c r="CC5" s="55"/>
      <c r="CD5" s="55"/>
      <c r="CE5" s="46"/>
      <c r="CF5" s="46"/>
      <c r="CG5" s="46"/>
      <c r="CH5" s="46"/>
      <c r="CI5" s="46"/>
      <c r="CJ5" s="46"/>
      <c r="CK5" s="46"/>
      <c r="CL5" s="46"/>
      <c r="CM5" s="46"/>
      <c r="CN5" s="46"/>
      <c r="CO5" s="46"/>
      <c r="CP5" s="46"/>
      <c r="CQ5" s="46"/>
      <c r="CR5" s="46"/>
      <c r="CS5" s="46"/>
      <c r="CT5" s="46"/>
      <c r="CU5" s="46"/>
      <c r="CV5" s="46"/>
      <c r="CW5" s="46"/>
      <c r="CX5" s="46"/>
      <c r="CY5" s="46"/>
      <c r="CZ5" s="46"/>
      <c r="DA5" s="46"/>
      <c r="DB5" s="46"/>
      <c r="DC5" s="46"/>
      <c r="DD5" s="50"/>
      <c r="DE5" s="46"/>
      <c r="DF5" s="46"/>
      <c r="DG5" s="46"/>
      <c r="DH5" s="46"/>
      <c r="DI5" s="46"/>
      <c r="DJ5" s="46"/>
      <c r="DK5" s="46"/>
      <c r="DL5" s="46"/>
      <c r="DM5" s="46"/>
      <c r="DN5" s="46"/>
      <c r="DO5" s="46"/>
      <c r="DP5" s="46"/>
      <c r="DQ5" s="46"/>
      <c r="DR5" s="46"/>
      <c r="DS5" s="46"/>
      <c r="DT5" s="46"/>
      <c r="DU5" s="46"/>
      <c r="DV5" s="46"/>
      <c r="DW5" s="46"/>
      <c r="DX5" s="46"/>
      <c r="DY5" s="46"/>
      <c r="DZ5" s="46"/>
      <c r="EA5" s="46"/>
      <c r="EB5" s="46"/>
      <c r="EC5" s="44"/>
      <c r="ED5" s="44"/>
      <c r="EE5" s="44"/>
      <c r="EF5" s="44"/>
      <c r="EG5" s="44"/>
      <c r="EH5" s="44"/>
      <c r="EI5" s="44"/>
      <c r="EJ5" s="44"/>
      <c r="EK5" s="44"/>
      <c r="EL5" s="44"/>
      <c r="EM5" s="44"/>
      <c r="EN5" s="44"/>
      <c r="EO5" s="44"/>
      <c r="EP5" s="44"/>
      <c r="EQ5" s="44"/>
      <c r="ER5" s="44"/>
      <c r="ES5" s="44"/>
      <c r="ET5" s="44"/>
      <c r="EU5" s="44"/>
      <c r="EV5" s="44"/>
      <c r="EW5" s="44"/>
      <c r="EX5" s="44"/>
      <c r="EY5" s="44"/>
      <c r="EZ5" s="44"/>
      <c r="FA5" s="44"/>
    </row>
    <row r="6" spans="1:158"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28">
        <v>141</v>
      </c>
      <c r="EX6" s="28">
        <v>125</v>
      </c>
      <c r="EY6" s="28">
        <v>112</v>
      </c>
      <c r="EZ6" s="28">
        <v>102</v>
      </c>
      <c r="FA6" s="28">
        <v>106</v>
      </c>
      <c r="FB6" s="1"/>
    </row>
    <row r="7" spans="1:158"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c r="EY7" s="15">
        <v>1</v>
      </c>
      <c r="EZ7" s="15">
        <v>1</v>
      </c>
      <c r="FA7" s="15">
        <v>0</v>
      </c>
    </row>
    <row r="8" spans="1:158"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c r="EW8" s="28">
        <v>26</v>
      </c>
      <c r="EX8" s="28">
        <v>20</v>
      </c>
      <c r="EY8" s="28">
        <v>27</v>
      </c>
      <c r="EZ8" s="28">
        <v>20</v>
      </c>
      <c r="FA8" s="28">
        <v>20</v>
      </c>
    </row>
    <row r="9" spans="1:158"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c r="EY9" s="15">
        <v>111</v>
      </c>
      <c r="EZ9" s="15">
        <v>86</v>
      </c>
      <c r="FA9" s="15">
        <v>83</v>
      </c>
    </row>
    <row r="10" spans="1:158"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c r="EY10" s="15">
        <v>1</v>
      </c>
      <c r="EZ10" s="15">
        <v>0</v>
      </c>
      <c r="FA10" s="15">
        <v>0</v>
      </c>
    </row>
    <row r="11" spans="1:158"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c r="EY11" s="15">
        <v>14</v>
      </c>
      <c r="EZ11" s="15">
        <v>11</v>
      </c>
      <c r="FA11" s="15">
        <v>7</v>
      </c>
    </row>
    <row r="12" spans="1:158"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c r="EY12" s="15">
        <v>8</v>
      </c>
      <c r="EZ12" s="15">
        <v>7</v>
      </c>
      <c r="FA12" s="15">
        <v>10</v>
      </c>
    </row>
    <row r="13" spans="1:158"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5">
        <v>24</v>
      </c>
      <c r="EZ13" s="15">
        <v>29</v>
      </c>
      <c r="FA13" s="15">
        <v>19</v>
      </c>
      <c r="FB13" s="1"/>
    </row>
    <row r="14" spans="1:158"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c r="EY14" s="15">
        <v>13</v>
      </c>
      <c r="EZ14" s="15">
        <v>14</v>
      </c>
      <c r="FA14" s="15">
        <v>14</v>
      </c>
    </row>
    <row r="15" spans="1:158"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c r="EY15" s="15">
        <v>1</v>
      </c>
      <c r="EZ15" s="15">
        <v>2</v>
      </c>
      <c r="FA15" s="15">
        <v>6</v>
      </c>
    </row>
    <row r="16" spans="1:158"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28">
        <v>168</v>
      </c>
      <c r="EX16" s="28">
        <v>121</v>
      </c>
      <c r="EY16" s="28">
        <v>125</v>
      </c>
      <c r="EZ16" s="28">
        <v>101</v>
      </c>
      <c r="FA16" s="28">
        <v>136</v>
      </c>
      <c r="FB16" s="1"/>
    </row>
    <row r="17" spans="1:158"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5">
        <v>168</v>
      </c>
      <c r="EZ17" s="15">
        <v>148</v>
      </c>
      <c r="FA17" s="15">
        <v>158</v>
      </c>
      <c r="FB17" s="1"/>
    </row>
    <row r="18" spans="1:158"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34">
        <v>2220</v>
      </c>
      <c r="EX18" s="34">
        <v>2012</v>
      </c>
      <c r="EY18" s="34">
        <v>1716</v>
      </c>
      <c r="EZ18" s="34">
        <v>1718</v>
      </c>
      <c r="FA18" s="34">
        <v>1733</v>
      </c>
      <c r="FB18" s="1"/>
    </row>
    <row r="19" spans="1:158" s="4" customFormat="1" ht="39.6" customHeight="1" x14ac:dyDescent="0.4">
      <c r="A19" s="3"/>
      <c r="B19" s="69"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5">
        <v>72</v>
      </c>
      <c r="EZ19" s="15">
        <v>62</v>
      </c>
      <c r="FA19" s="15">
        <v>68</v>
      </c>
      <c r="FB19" s="1"/>
    </row>
    <row r="20" spans="1:158" s="4" customFormat="1" ht="39.6" customHeight="1" x14ac:dyDescent="0.4">
      <c r="A20" s="3"/>
      <c r="B20" s="69"/>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28">
        <v>209</v>
      </c>
      <c r="EX20" s="28">
        <v>157</v>
      </c>
      <c r="EY20" s="28">
        <v>142</v>
      </c>
      <c r="EZ20" s="28">
        <v>152</v>
      </c>
      <c r="FA20" s="28">
        <v>114</v>
      </c>
      <c r="FB20" s="1"/>
    </row>
    <row r="21" spans="1:158" s="4" customFormat="1" ht="39.6" customHeight="1" x14ac:dyDescent="0.4">
      <c r="A21" s="3"/>
      <c r="B21" s="69"/>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5">
        <v>31</v>
      </c>
      <c r="EZ21" s="15">
        <v>33</v>
      </c>
      <c r="FA21" s="15">
        <v>32</v>
      </c>
      <c r="FB21" s="1"/>
    </row>
    <row r="22" spans="1:158"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c r="EY22" s="15">
        <v>4</v>
      </c>
      <c r="EZ22" s="15">
        <v>9</v>
      </c>
      <c r="FA22" s="15">
        <v>1</v>
      </c>
    </row>
    <row r="23" spans="1:158"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c r="EY23" s="15">
        <v>0</v>
      </c>
      <c r="EZ23" s="15">
        <v>2</v>
      </c>
      <c r="FA23" s="15">
        <v>0</v>
      </c>
    </row>
    <row r="24" spans="1:158"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5">
        <v>13</v>
      </c>
      <c r="EZ24" s="15">
        <v>9</v>
      </c>
      <c r="FA24" s="15">
        <v>5</v>
      </c>
      <c r="FB24" s="1"/>
    </row>
    <row r="25" spans="1:158"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c r="EY25" s="15">
        <v>2</v>
      </c>
      <c r="EZ25" s="15">
        <v>0</v>
      </c>
      <c r="FA25" s="15">
        <v>0</v>
      </c>
    </row>
    <row r="26" spans="1:158"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c r="EY26" s="15">
        <v>16</v>
      </c>
      <c r="EZ26" s="15">
        <v>15</v>
      </c>
      <c r="FA26" s="15">
        <v>13</v>
      </c>
    </row>
    <row r="27" spans="1:158"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c r="EY27" s="15">
        <v>0</v>
      </c>
      <c r="EZ27" s="15">
        <v>0</v>
      </c>
      <c r="FA27" s="15">
        <v>0</v>
      </c>
    </row>
    <row r="28" spans="1:158"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5">
        <v>0</v>
      </c>
      <c r="EZ28" s="15">
        <v>1</v>
      </c>
      <c r="FA28" s="15">
        <v>1</v>
      </c>
      <c r="FB28" s="1"/>
    </row>
    <row r="29" spans="1:158" ht="39.6" customHeight="1" x14ac:dyDescent="0.4">
      <c r="B29" s="70"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c r="EY29" s="15">
        <v>1</v>
      </c>
      <c r="EZ29" s="15">
        <v>1</v>
      </c>
      <c r="FA29" s="15">
        <v>0</v>
      </c>
    </row>
    <row r="30" spans="1:158" ht="39.6" customHeight="1" x14ac:dyDescent="0.4">
      <c r="B30" s="70"/>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c r="EY30" s="15">
        <v>23</v>
      </c>
      <c r="EZ30" s="15">
        <v>24</v>
      </c>
      <c r="FA30" s="15">
        <v>24</v>
      </c>
    </row>
    <row r="31" spans="1:158"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5">
        <v>61</v>
      </c>
      <c r="EZ31" s="15">
        <v>74</v>
      </c>
      <c r="FA31" s="15">
        <v>57</v>
      </c>
      <c r="FB31" s="1"/>
    </row>
    <row r="32" spans="1:158"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c r="EY32" s="15">
        <v>0</v>
      </c>
      <c r="EZ32" s="15">
        <v>4</v>
      </c>
      <c r="FA32" s="15">
        <v>0</v>
      </c>
    </row>
    <row r="33" spans="1:158"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c r="EY33" s="15">
        <v>0</v>
      </c>
      <c r="EZ33" s="15">
        <v>0</v>
      </c>
      <c r="FA33" s="15">
        <v>0</v>
      </c>
    </row>
    <row r="34" spans="1:158"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5">
        <v>71</v>
      </c>
      <c r="EZ34" s="15">
        <v>92</v>
      </c>
      <c r="FA34" s="15">
        <v>83</v>
      </c>
      <c r="FB34" s="1"/>
    </row>
    <row r="35" spans="1:158" s="4" customFormat="1" ht="39.6" customHeight="1" x14ac:dyDescent="0.4">
      <c r="A35" s="3"/>
      <c r="B35" s="69"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5">
        <v>318</v>
      </c>
      <c r="EZ35" s="15">
        <v>342</v>
      </c>
      <c r="FA35" s="15">
        <v>274</v>
      </c>
      <c r="FB35" s="1"/>
    </row>
    <row r="36" spans="1:158" s="4" customFormat="1" ht="39.6" customHeight="1" x14ac:dyDescent="0.4">
      <c r="B36" s="69"/>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28">
        <v>33</v>
      </c>
      <c r="EX36" s="28">
        <v>37</v>
      </c>
      <c r="EY36" s="28">
        <v>36</v>
      </c>
      <c r="EZ36" s="28">
        <v>49</v>
      </c>
      <c r="FA36" s="28">
        <v>43</v>
      </c>
      <c r="FB36" s="1"/>
    </row>
    <row r="37" spans="1:158"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5">
        <v>51</v>
      </c>
      <c r="EZ37" s="15">
        <v>57</v>
      </c>
      <c r="FA37" s="15">
        <v>49</v>
      </c>
      <c r="FB37" s="1"/>
    </row>
    <row r="38" spans="1:158"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c r="EY38" s="15">
        <v>8</v>
      </c>
      <c r="EZ38" s="15">
        <v>10</v>
      </c>
      <c r="FA38" s="15">
        <v>9</v>
      </c>
    </row>
    <row r="39" spans="1:158"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c r="EY39" s="15">
        <v>14</v>
      </c>
      <c r="EZ39" s="15">
        <v>7</v>
      </c>
      <c r="FA39" s="15">
        <v>6</v>
      </c>
    </row>
    <row r="40" spans="1:158"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c r="EY40" s="15">
        <v>0</v>
      </c>
      <c r="EZ40" s="15">
        <v>0</v>
      </c>
      <c r="FA40" s="15">
        <v>1</v>
      </c>
    </row>
    <row r="41" spans="1:158"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c r="EY41" s="15">
        <v>0</v>
      </c>
      <c r="EZ41" s="15">
        <v>0</v>
      </c>
      <c r="FA41" s="15">
        <v>0</v>
      </c>
    </row>
    <row r="42" spans="1:158"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c r="EY42" s="15">
        <v>7</v>
      </c>
      <c r="EZ42" s="15">
        <v>17</v>
      </c>
      <c r="FA42" s="15">
        <v>13</v>
      </c>
    </row>
    <row r="43" spans="1:158"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c r="EW43" s="28">
        <v>83</v>
      </c>
      <c r="EX43" s="28">
        <v>78</v>
      </c>
      <c r="EY43" s="28">
        <v>66</v>
      </c>
      <c r="EZ43" s="28">
        <v>78</v>
      </c>
      <c r="FA43" s="28">
        <v>46</v>
      </c>
    </row>
    <row r="44" spans="1:158"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c r="EY44" s="15">
        <v>1</v>
      </c>
      <c r="EZ44" s="15">
        <v>2</v>
      </c>
      <c r="FA44" s="15">
        <v>3</v>
      </c>
    </row>
    <row r="45" spans="1:158"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5">
        <v>30</v>
      </c>
      <c r="EZ45" s="15">
        <v>23</v>
      </c>
      <c r="FA45" s="15">
        <v>25</v>
      </c>
      <c r="FB45" s="1"/>
    </row>
    <row r="46" spans="1:158"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c r="EY46" s="15">
        <v>17</v>
      </c>
      <c r="EZ46" s="15">
        <v>24</v>
      </c>
      <c r="FA46" s="15">
        <v>28</v>
      </c>
    </row>
    <row r="47" spans="1:158"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c r="EY47" s="15">
        <v>0</v>
      </c>
      <c r="EZ47" s="15">
        <v>1</v>
      </c>
      <c r="FA47" s="15">
        <v>1</v>
      </c>
    </row>
    <row r="48" spans="1:158"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c r="EY48" s="15">
        <v>16</v>
      </c>
      <c r="EZ48" s="15">
        <v>23</v>
      </c>
      <c r="FA48" s="15">
        <v>9</v>
      </c>
    </row>
    <row r="49" spans="1:158" s="4" customFormat="1" ht="39.6" customHeight="1" x14ac:dyDescent="0.4">
      <c r="A49" s="3"/>
      <c r="B49" s="69"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5">
        <v>46</v>
      </c>
      <c r="EZ49" s="15">
        <v>42</v>
      </c>
      <c r="FA49" s="15">
        <v>44</v>
      </c>
      <c r="FB49" s="1"/>
    </row>
    <row r="50" spans="1:158" s="4" customFormat="1" ht="39.6" customHeight="1" x14ac:dyDescent="0.4">
      <c r="B50" s="69"/>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5">
        <v>25</v>
      </c>
      <c r="EZ50" s="15">
        <v>12</v>
      </c>
      <c r="FA50" s="15">
        <v>16</v>
      </c>
      <c r="FB50" s="1"/>
    </row>
    <row r="51" spans="1:158"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c r="EY51" s="15">
        <v>4</v>
      </c>
      <c r="EZ51" s="15">
        <v>6</v>
      </c>
      <c r="FA51" s="15">
        <v>8</v>
      </c>
    </row>
    <row r="52" spans="1:158"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c r="EY52" s="15">
        <v>15</v>
      </c>
      <c r="EZ52" s="15">
        <v>21</v>
      </c>
      <c r="FA52" s="15">
        <v>30</v>
      </c>
    </row>
    <row r="53" spans="1:158"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c r="EY53" s="15">
        <v>39</v>
      </c>
      <c r="EZ53" s="15">
        <v>61</v>
      </c>
      <c r="FA53" s="15">
        <v>56</v>
      </c>
    </row>
    <row r="54" spans="1:158"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c r="EY54" s="15">
        <v>4</v>
      </c>
      <c r="EZ54" s="15">
        <v>2</v>
      </c>
      <c r="FA54" s="15">
        <v>9</v>
      </c>
    </row>
    <row r="55" spans="1:158"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c r="EY55" s="15">
        <v>16</v>
      </c>
      <c r="EZ55" s="15">
        <v>14</v>
      </c>
      <c r="FA55" s="15">
        <v>19</v>
      </c>
    </row>
    <row r="56" spans="1:158"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c r="EY56" s="15">
        <v>2</v>
      </c>
      <c r="EZ56" s="15">
        <v>1</v>
      </c>
      <c r="FA56" s="15">
        <v>1</v>
      </c>
    </row>
    <row r="57" spans="1:158"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c r="EY57" s="15">
        <v>2</v>
      </c>
      <c r="EZ57" s="15">
        <v>1</v>
      </c>
      <c r="FA57" s="15">
        <v>5</v>
      </c>
    </row>
    <row r="58" spans="1:158"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Z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c r="EY58" s="14">
        <f t="shared" ref="EY58" si="11">SUM(EY6:EY57)</f>
        <v>3474</v>
      </c>
      <c r="EZ58" s="14">
        <f t="shared" si="10"/>
        <v>3510</v>
      </c>
      <c r="FA58" s="14">
        <f t="shared" ref="FA58" si="12">SUM(FA6:FA57)</f>
        <v>3385</v>
      </c>
    </row>
    <row r="59" spans="1:158"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58"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58" ht="39.6" customHeight="1" x14ac:dyDescent="0.4">
      <c r="A61" s="2"/>
      <c r="B61" s="5"/>
      <c r="C61" s="6"/>
      <c r="D61" s="67"/>
      <c r="E61" s="68"/>
      <c r="F61" s="68"/>
      <c r="G61" s="68"/>
      <c r="H61" s="68"/>
      <c r="I61" s="68"/>
      <c r="J61" s="68"/>
      <c r="K61" s="68"/>
      <c r="L61" s="68"/>
      <c r="M61" s="68"/>
      <c r="N61" s="68"/>
      <c r="O61" s="68"/>
      <c r="P61" s="68"/>
      <c r="Q61" s="68"/>
      <c r="R61" s="68"/>
      <c r="S61" s="68"/>
      <c r="T61" s="68"/>
      <c r="U61" s="68"/>
      <c r="V61" s="68"/>
      <c r="W61" s="68"/>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71">
    <mergeCell ref="FA4:FA5"/>
    <mergeCell ref="DE2:FA2"/>
    <mergeCell ref="ER3:FA3"/>
    <mergeCell ref="AN4:AN5"/>
    <mergeCell ref="AP4:AP5"/>
    <mergeCell ref="AM4:AM5"/>
    <mergeCell ref="AF4:AF5"/>
    <mergeCell ref="BN4:BN5"/>
    <mergeCell ref="CI4:CI5"/>
    <mergeCell ref="BG4:BG5"/>
    <mergeCell ref="AT4:AT5"/>
    <mergeCell ref="AS4:AS5"/>
    <mergeCell ref="AX4:AX5"/>
    <mergeCell ref="BJ4:BJ5"/>
    <mergeCell ref="BQ4:BQ5"/>
    <mergeCell ref="CZ4:CZ5"/>
    <mergeCell ref="CT4:CT5"/>
    <mergeCell ref="AR4:AR5"/>
    <mergeCell ref="AV4:AV5"/>
    <mergeCell ref="CQ4:CQ5"/>
    <mergeCell ref="CN4:CN5"/>
    <mergeCell ref="CM4:CM5"/>
    <mergeCell ref="AW4:AW5"/>
    <mergeCell ref="CD4:CD5"/>
    <mergeCell ref="BP4:BP5"/>
    <mergeCell ref="CO4:CO5"/>
    <mergeCell ref="AY4:AY5"/>
    <mergeCell ref="AU4:AU5"/>
    <mergeCell ref="BC4:BC5"/>
    <mergeCell ref="BB4:BB5"/>
    <mergeCell ref="AZ4:AZ5"/>
    <mergeCell ref="BA4:BA5"/>
    <mergeCell ref="BD4:BD5"/>
    <mergeCell ref="BW4:BW5"/>
    <mergeCell ref="CG4:CG5"/>
    <mergeCell ref="BX4:BX5"/>
    <mergeCell ref="CJ4:CJ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AR3:BC3"/>
    <mergeCell ref="D2:BC2"/>
    <mergeCell ref="DO4:DO5"/>
    <mergeCell ref="DN4:DN5"/>
    <mergeCell ref="DS4:DS5"/>
    <mergeCell ref="DR4:DR5"/>
    <mergeCell ref="CY4:CY5"/>
    <mergeCell ref="CF4:CF5"/>
    <mergeCell ref="BI4:BI5"/>
    <mergeCell ref="BE4:BE5"/>
    <mergeCell ref="BO4:BO5"/>
    <mergeCell ref="BV4:BV5"/>
    <mergeCell ref="BL4:BL5"/>
    <mergeCell ref="BH4:BH5"/>
    <mergeCell ref="CP4:CP5"/>
    <mergeCell ref="CH4:CH5"/>
    <mergeCell ref="BT4:BT5"/>
    <mergeCell ref="BF4:BF5"/>
    <mergeCell ref="BY4:BY5"/>
    <mergeCell ref="CX4:CX5"/>
    <mergeCell ref="BK4:BK5"/>
    <mergeCell ref="BM4:BM5"/>
    <mergeCell ref="DB4:DB5"/>
    <mergeCell ref="CU4:CU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DX4:DX5"/>
    <mergeCell ref="DW4:DW5"/>
    <mergeCell ref="DV4:DV5"/>
    <mergeCell ref="BR4:BR5"/>
    <mergeCell ref="CK4:CK5"/>
    <mergeCell ref="EZ4:EZ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DG4:DG5"/>
    <mergeCell ref="DE4:DE5"/>
    <mergeCell ref="DC4:DC5"/>
    <mergeCell ref="EX4:EX5"/>
    <mergeCell ref="EW4:EW5"/>
    <mergeCell ref="EY4:EY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DU4:DU5"/>
  </mergeCells>
  <phoneticPr fontId="2"/>
  <conditionalFormatting sqref="DJ6:DN57">
    <cfRule type="containsBlanks" dxfId="17" priority="5">
      <formula>LEN(TRIM(DJ6))=0</formula>
    </cfRule>
  </conditionalFormatting>
  <conditionalFormatting sqref="DO6:DO57">
    <cfRule type="containsBlanks" dxfId="16" priority="4">
      <formula>LEN(TRIM(DO6))=0</formula>
    </cfRule>
  </conditionalFormatting>
  <conditionalFormatting sqref="DP6:EX57 EZ6:EZ57">
    <cfRule type="containsBlanks" dxfId="15" priority="3">
      <formula>LEN(TRIM(DP6))=0</formula>
    </cfRule>
  </conditionalFormatting>
  <conditionalFormatting sqref="EY6:EY57">
    <cfRule type="containsBlanks" dxfId="14" priority="2">
      <formula>LEN(TRIM(EY6))=0</formula>
    </cfRule>
  </conditionalFormatting>
  <conditionalFormatting sqref="FA6:FA57">
    <cfRule type="containsBlanks" dxfId="13" priority="1">
      <formula>LEN(TRIM(FA6))=0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3" manualBreakCount="3">
    <brk id="55" max="64" man="1"/>
    <brk id="108" max="64" man="1"/>
    <brk id="147"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A58"/>
  <sheetViews>
    <sheetView view="pageBreakPreview" zoomScale="70" zoomScaleNormal="70" zoomScaleSheetLayoutView="70" workbookViewId="0">
      <pane xSplit="3" ySplit="1" topLeftCell="EQ2" activePane="bottomRight" state="frozen"/>
      <selection pane="topRight" activeCell="D1" sqref="D1"/>
      <selection pane="bottomLeft" activeCell="A5" sqref="A5"/>
      <selection pane="bottomRight" activeCell="FA60" sqref="FA60"/>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1" width="11" style="4" customWidth="1"/>
    <col min="52" max="55" width="11" style="1" customWidth="1"/>
    <col min="56" max="82" width="10.875" style="1" customWidth="1"/>
    <col min="83" max="90" width="11.125" style="1" customWidth="1"/>
    <col min="91" max="100" width="10.875" style="1" customWidth="1"/>
    <col min="101" max="105" width="11.125" style="1" customWidth="1"/>
    <col min="106" max="157" width="10.875" style="1" customWidth="1"/>
    <col min="158" max="16384" width="8.625" style="1"/>
  </cols>
  <sheetData>
    <row r="1" spans="2:157" ht="29.1" customHeight="1" x14ac:dyDescent="0.4">
      <c r="BB1" s="85" t="s">
        <v>323</v>
      </c>
      <c r="BC1" s="85"/>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t="s">
        <v>290</v>
      </c>
    </row>
    <row r="2" spans="2:157" ht="32.1" customHeight="1" x14ac:dyDescent="0.4">
      <c r="B2" s="59"/>
      <c r="C2" s="60"/>
      <c r="D2" s="58" t="s">
        <v>240</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4"/>
      <c r="BD2" s="58" t="s">
        <v>321</v>
      </c>
      <c r="BE2" s="51"/>
      <c r="BF2" s="51"/>
      <c r="BG2" s="51"/>
      <c r="BH2" s="51"/>
      <c r="BI2" s="51"/>
      <c r="BJ2" s="51"/>
      <c r="BK2" s="51"/>
      <c r="BL2" s="51"/>
      <c r="BM2" s="51"/>
      <c r="BN2" s="51"/>
      <c r="BO2" s="51"/>
      <c r="BP2" s="51"/>
      <c r="BQ2" s="51"/>
      <c r="BR2" s="51"/>
      <c r="BS2" s="51"/>
      <c r="BT2" s="51"/>
      <c r="BU2" s="51"/>
      <c r="BV2" s="51"/>
      <c r="BW2" s="51"/>
      <c r="BX2" s="51"/>
      <c r="BY2" s="51"/>
      <c r="BZ2" s="51"/>
      <c r="CA2" s="51"/>
      <c r="CB2" s="51"/>
      <c r="CC2" s="51"/>
      <c r="CD2" s="51"/>
      <c r="CE2" s="51"/>
      <c r="CF2" s="51"/>
      <c r="CG2" s="51"/>
      <c r="CH2" s="51"/>
      <c r="CI2" s="51"/>
      <c r="CJ2" s="51"/>
      <c r="CK2" s="51"/>
      <c r="CL2" s="51"/>
      <c r="CM2" s="51"/>
      <c r="CN2" s="51"/>
      <c r="CO2" s="51"/>
      <c r="CP2" s="51"/>
      <c r="CQ2" s="51"/>
      <c r="CR2" s="51"/>
      <c r="CS2" s="51"/>
      <c r="CT2" s="51"/>
      <c r="CU2" s="51"/>
      <c r="CV2" s="51"/>
      <c r="CW2" s="51"/>
      <c r="CX2" s="51"/>
      <c r="CY2" s="51"/>
      <c r="CZ2" s="51"/>
      <c r="DA2" s="51"/>
      <c r="DB2" s="51"/>
      <c r="DC2" s="84"/>
      <c r="DD2" s="58" t="s">
        <v>321</v>
      </c>
      <c r="DE2" s="51"/>
      <c r="DF2" s="51"/>
      <c r="DG2" s="51"/>
      <c r="DH2" s="51"/>
      <c r="DI2" s="51"/>
      <c r="DJ2" s="51"/>
      <c r="DK2" s="51"/>
      <c r="DL2" s="51"/>
      <c r="DM2" s="51"/>
      <c r="DN2" s="51"/>
      <c r="DO2" s="51"/>
      <c r="DP2" s="51"/>
      <c r="DQ2" s="51"/>
      <c r="DR2" s="51"/>
      <c r="DS2" s="51"/>
      <c r="DT2" s="51"/>
      <c r="DU2" s="51"/>
      <c r="DV2" s="51"/>
      <c r="DW2" s="51"/>
      <c r="DX2" s="51"/>
      <c r="DY2" s="51"/>
      <c r="DZ2" s="51"/>
      <c r="EA2" s="51"/>
      <c r="EB2" s="51"/>
      <c r="EC2" s="51"/>
      <c r="ED2" s="51"/>
      <c r="EE2" s="51"/>
      <c r="EF2" s="51"/>
      <c r="EG2" s="51"/>
      <c r="EH2" s="51"/>
      <c r="EI2" s="51"/>
      <c r="EJ2" s="51"/>
      <c r="EK2" s="51"/>
      <c r="EL2" s="51"/>
      <c r="EM2" s="51"/>
      <c r="EN2" s="51"/>
      <c r="EO2" s="51"/>
      <c r="EP2" s="51"/>
      <c r="EQ2" s="51"/>
      <c r="ER2" s="51"/>
      <c r="ES2" s="51"/>
      <c r="ET2" s="51"/>
      <c r="EU2" s="51"/>
      <c r="EV2" s="51"/>
      <c r="EW2" s="51"/>
      <c r="EX2" s="51"/>
      <c r="EY2" s="51"/>
      <c r="EZ2" s="51"/>
      <c r="FA2" s="84"/>
    </row>
    <row r="3" spans="2:157" ht="27.95" customHeight="1" x14ac:dyDescent="0.4">
      <c r="B3" s="61"/>
      <c r="C3" s="62"/>
      <c r="D3" s="47" t="s">
        <v>281</v>
      </c>
      <c r="E3" s="52"/>
      <c r="F3" s="52"/>
      <c r="G3" s="52"/>
      <c r="H3" s="52"/>
      <c r="I3" s="52"/>
      <c r="J3" s="52"/>
      <c r="K3" s="52"/>
      <c r="L3" s="52"/>
      <c r="M3" s="52"/>
      <c r="N3" s="52"/>
      <c r="O3" s="52"/>
      <c r="P3" s="52"/>
      <c r="Q3" s="52"/>
      <c r="R3" s="52"/>
      <c r="S3" s="52"/>
      <c r="T3" s="52"/>
      <c r="U3" s="52"/>
      <c r="V3" s="52"/>
      <c r="W3" s="52"/>
      <c r="X3" s="52"/>
      <c r="Y3" s="52"/>
      <c r="Z3" s="52"/>
      <c r="AA3" s="52"/>
      <c r="AB3" s="52"/>
      <c r="AC3" s="52"/>
      <c r="AD3" s="52"/>
      <c r="AE3" s="52"/>
      <c r="AF3" s="52"/>
      <c r="AG3" s="52"/>
      <c r="AH3" s="52"/>
      <c r="AI3" s="52"/>
      <c r="AJ3" s="52"/>
      <c r="AK3" s="52"/>
      <c r="AL3" s="52"/>
      <c r="AM3" s="52"/>
      <c r="AN3" s="52"/>
      <c r="AO3" s="52"/>
      <c r="AP3" s="52"/>
      <c r="AQ3" s="53"/>
      <c r="AR3" s="47" t="s">
        <v>282</v>
      </c>
      <c r="AS3" s="52"/>
      <c r="AT3" s="52"/>
      <c r="AU3" s="52"/>
      <c r="AV3" s="52"/>
      <c r="AW3" s="52"/>
      <c r="AX3" s="52"/>
      <c r="AY3" s="52"/>
      <c r="AZ3" s="52"/>
      <c r="BA3" s="52"/>
      <c r="BB3" s="52"/>
      <c r="BC3" s="53"/>
      <c r="BD3" s="47" t="s">
        <v>322</v>
      </c>
      <c r="BE3" s="52"/>
      <c r="BF3" s="52"/>
      <c r="BG3" s="52"/>
      <c r="BH3" s="52"/>
      <c r="BI3" s="52"/>
      <c r="BJ3" s="52"/>
      <c r="BK3" s="52"/>
      <c r="BL3" s="52"/>
      <c r="BM3" s="52"/>
      <c r="BN3" s="52"/>
      <c r="BO3" s="52"/>
      <c r="BP3" s="52"/>
      <c r="BQ3" s="52"/>
      <c r="BR3" s="52"/>
      <c r="BS3" s="52"/>
      <c r="BT3" s="52"/>
      <c r="BU3" s="52"/>
      <c r="BV3" s="52"/>
      <c r="BW3" s="52"/>
      <c r="BX3" s="52"/>
      <c r="BY3" s="52"/>
      <c r="BZ3" s="52"/>
      <c r="CA3" s="52"/>
      <c r="CB3" s="52"/>
      <c r="CC3" s="52"/>
      <c r="CD3" s="52"/>
      <c r="CE3" s="52"/>
      <c r="CF3" s="52"/>
      <c r="CG3" s="52"/>
      <c r="CH3" s="52"/>
      <c r="CI3" s="52"/>
      <c r="CJ3" s="52"/>
      <c r="CK3" s="52"/>
      <c r="CL3" s="52"/>
      <c r="CM3" s="52"/>
      <c r="CN3" s="52"/>
      <c r="CO3" s="52"/>
      <c r="CP3" s="52"/>
      <c r="CQ3" s="53"/>
      <c r="CR3" s="47" t="s">
        <v>280</v>
      </c>
      <c r="CS3" s="52"/>
      <c r="CT3" s="52"/>
      <c r="CU3" s="52"/>
      <c r="CV3" s="52"/>
      <c r="CW3" s="52"/>
      <c r="CX3" s="52"/>
      <c r="CY3" s="52"/>
      <c r="CZ3" s="52"/>
      <c r="DA3" s="52"/>
      <c r="DB3" s="52"/>
      <c r="DC3" s="53"/>
      <c r="DD3" s="47" t="s">
        <v>216</v>
      </c>
      <c r="DE3" s="52"/>
      <c r="DF3" s="52"/>
      <c r="DG3" s="52"/>
      <c r="DH3" s="52"/>
      <c r="DI3" s="52"/>
      <c r="DJ3" s="52"/>
      <c r="DK3" s="52"/>
      <c r="DL3" s="52"/>
      <c r="DM3" s="52"/>
      <c r="DN3" s="52"/>
      <c r="DO3" s="52"/>
      <c r="DP3" s="52"/>
      <c r="DQ3" s="52"/>
      <c r="DR3" s="52"/>
      <c r="DS3" s="52"/>
      <c r="DT3" s="52"/>
      <c r="DU3" s="52"/>
      <c r="DV3" s="52"/>
      <c r="DW3" s="52"/>
      <c r="DX3" s="52"/>
      <c r="DY3" s="52"/>
      <c r="DZ3" s="52"/>
      <c r="EA3" s="52"/>
      <c r="EB3" s="52"/>
      <c r="EC3" s="52"/>
      <c r="ED3" s="52"/>
      <c r="EE3" s="52"/>
      <c r="EF3" s="52"/>
      <c r="EG3" s="52"/>
      <c r="EH3" s="52"/>
      <c r="EI3" s="52"/>
      <c r="EJ3" s="52"/>
      <c r="EK3" s="52"/>
      <c r="EL3" s="52"/>
      <c r="EM3" s="52"/>
      <c r="EN3" s="52"/>
      <c r="EO3" s="52"/>
      <c r="EP3" s="52"/>
      <c r="EQ3" s="53"/>
      <c r="ER3" s="47" t="s">
        <v>414</v>
      </c>
      <c r="ES3" s="52"/>
      <c r="ET3" s="52"/>
      <c r="EU3" s="52"/>
      <c r="EV3" s="52"/>
      <c r="EW3" s="52"/>
      <c r="EX3" s="52"/>
      <c r="EY3" s="52"/>
      <c r="EZ3" s="52"/>
      <c r="FA3" s="53"/>
    </row>
    <row r="4" spans="2:157" ht="21" customHeight="1" x14ac:dyDescent="0.4">
      <c r="B4" s="65" t="s">
        <v>0</v>
      </c>
      <c r="C4" s="71" t="s">
        <v>1</v>
      </c>
      <c r="D4" s="74" t="s">
        <v>154</v>
      </c>
      <c r="E4" s="74" t="s">
        <v>155</v>
      </c>
      <c r="F4" s="74" t="s">
        <v>156</v>
      </c>
      <c r="G4" s="74" t="s">
        <v>157</v>
      </c>
      <c r="H4" s="74" t="s">
        <v>217</v>
      </c>
      <c r="I4" s="74" t="s">
        <v>188</v>
      </c>
      <c r="J4" s="74" t="s">
        <v>189</v>
      </c>
      <c r="K4" s="74" t="s">
        <v>190</v>
      </c>
      <c r="L4" s="74" t="s">
        <v>191</v>
      </c>
      <c r="M4" s="74" t="s">
        <v>192</v>
      </c>
      <c r="N4" s="74" t="s">
        <v>193</v>
      </c>
      <c r="O4" s="74" t="s">
        <v>194</v>
      </c>
      <c r="P4" s="74" t="s">
        <v>195</v>
      </c>
      <c r="Q4" s="74" t="s">
        <v>185</v>
      </c>
      <c r="R4" s="79" t="s">
        <v>196</v>
      </c>
      <c r="S4" s="74" t="s">
        <v>197</v>
      </c>
      <c r="T4" s="74" t="s">
        <v>198</v>
      </c>
      <c r="U4" s="74" t="s">
        <v>158</v>
      </c>
      <c r="V4" s="74" t="s">
        <v>159</v>
      </c>
      <c r="W4" s="74" t="s">
        <v>160</v>
      </c>
      <c r="X4" s="74" t="s">
        <v>161</v>
      </c>
      <c r="Y4" s="75" t="s">
        <v>162</v>
      </c>
      <c r="Z4" s="74" t="s">
        <v>186</v>
      </c>
      <c r="AA4" s="74" t="s">
        <v>163</v>
      </c>
      <c r="AB4" s="74" t="s">
        <v>164</v>
      </c>
      <c r="AC4" s="75" t="s">
        <v>165</v>
      </c>
      <c r="AD4" s="74" t="s">
        <v>166</v>
      </c>
      <c r="AE4" s="74" t="s">
        <v>199</v>
      </c>
      <c r="AF4" s="74" t="s">
        <v>200</v>
      </c>
      <c r="AG4" s="74" t="s">
        <v>201</v>
      </c>
      <c r="AH4" s="74" t="s">
        <v>202</v>
      </c>
      <c r="AI4" s="75" t="s">
        <v>167</v>
      </c>
      <c r="AJ4" s="75" t="s">
        <v>168</v>
      </c>
      <c r="AK4" s="75" t="s">
        <v>169</v>
      </c>
      <c r="AL4" s="75" t="s">
        <v>170</v>
      </c>
      <c r="AM4" s="75" t="s">
        <v>187</v>
      </c>
      <c r="AN4" s="74" t="s">
        <v>171</v>
      </c>
      <c r="AO4" s="75" t="s">
        <v>172</v>
      </c>
      <c r="AP4" s="75" t="s">
        <v>173</v>
      </c>
      <c r="AQ4" s="74" t="s">
        <v>174</v>
      </c>
      <c r="AR4" s="75" t="s">
        <v>175</v>
      </c>
      <c r="AS4" s="74" t="s">
        <v>176</v>
      </c>
      <c r="AT4" s="74" t="s">
        <v>177</v>
      </c>
      <c r="AU4" s="74" t="s">
        <v>178</v>
      </c>
      <c r="AV4" s="74" t="s">
        <v>179</v>
      </c>
      <c r="AW4" s="74" t="s">
        <v>180</v>
      </c>
      <c r="AX4" s="75" t="s">
        <v>203</v>
      </c>
      <c r="AY4" s="75" t="s">
        <v>204</v>
      </c>
      <c r="AZ4" s="74" t="s">
        <v>181</v>
      </c>
      <c r="BA4" s="74" t="s">
        <v>182</v>
      </c>
      <c r="BB4" s="74" t="s">
        <v>183</v>
      </c>
      <c r="BC4" s="74" t="s">
        <v>184</v>
      </c>
      <c r="BD4" s="64" t="s">
        <v>149</v>
      </c>
      <c r="BE4" s="64" t="s">
        <v>150</v>
      </c>
      <c r="BF4" s="64" t="s">
        <v>151</v>
      </c>
      <c r="BG4" s="64" t="s">
        <v>152</v>
      </c>
      <c r="BH4" s="64" t="s">
        <v>148</v>
      </c>
      <c r="BI4" s="64" t="s">
        <v>100</v>
      </c>
      <c r="BJ4" s="64" t="s">
        <v>101</v>
      </c>
      <c r="BK4" s="64" t="s">
        <v>102</v>
      </c>
      <c r="BL4" s="64" t="s">
        <v>103</v>
      </c>
      <c r="BM4" s="64" t="s">
        <v>104</v>
      </c>
      <c r="BN4" s="64" t="s">
        <v>105</v>
      </c>
      <c r="BO4" s="64" t="s">
        <v>106</v>
      </c>
      <c r="BP4" s="64" t="s">
        <v>231</v>
      </c>
      <c r="BQ4" s="64" t="s">
        <v>232</v>
      </c>
      <c r="BR4" s="64" t="s">
        <v>233</v>
      </c>
      <c r="BS4" s="64" t="s">
        <v>234</v>
      </c>
      <c r="BT4" s="64" t="s">
        <v>235</v>
      </c>
      <c r="BU4" s="63" t="s">
        <v>146</v>
      </c>
      <c r="BV4" s="63" t="s">
        <v>111</v>
      </c>
      <c r="BW4" s="63" t="s">
        <v>112</v>
      </c>
      <c r="BX4" s="63" t="s">
        <v>113</v>
      </c>
      <c r="BY4" s="63" t="s">
        <v>114</v>
      </c>
      <c r="BZ4" s="63" t="s">
        <v>145</v>
      </c>
      <c r="CA4" s="64" t="s">
        <v>236</v>
      </c>
      <c r="CB4" s="64" t="s">
        <v>237</v>
      </c>
      <c r="CC4" s="64" t="s">
        <v>238</v>
      </c>
      <c r="CD4" s="64" t="s">
        <v>239</v>
      </c>
      <c r="CE4" s="74" t="s">
        <v>253</v>
      </c>
      <c r="CF4" s="74" t="s">
        <v>255</v>
      </c>
      <c r="CG4" s="74" t="s">
        <v>257</v>
      </c>
      <c r="CH4" s="74" t="s">
        <v>259</v>
      </c>
      <c r="CI4" s="74" t="s">
        <v>261</v>
      </c>
      <c r="CJ4" s="74" t="s">
        <v>263</v>
      </c>
      <c r="CK4" s="74" t="s">
        <v>265</v>
      </c>
      <c r="CL4" s="74" t="s">
        <v>267</v>
      </c>
      <c r="CM4" s="74" t="s">
        <v>269</v>
      </c>
      <c r="CN4" s="74" t="s">
        <v>271</v>
      </c>
      <c r="CO4" s="74" t="s">
        <v>273</v>
      </c>
      <c r="CP4" s="74" t="s">
        <v>275</v>
      </c>
      <c r="CQ4" s="74" t="s">
        <v>277</v>
      </c>
      <c r="CR4" s="74" t="s">
        <v>283</v>
      </c>
      <c r="CS4" s="74" t="s">
        <v>285</v>
      </c>
      <c r="CT4" s="74" t="s">
        <v>287</v>
      </c>
      <c r="CU4" s="74" t="s">
        <v>289</v>
      </c>
      <c r="CV4" s="74" t="s">
        <v>372</v>
      </c>
      <c r="CW4" s="74" t="s">
        <v>293</v>
      </c>
      <c r="CX4" s="74" t="s">
        <v>295</v>
      </c>
      <c r="CY4" s="74" t="s">
        <v>297</v>
      </c>
      <c r="CZ4" s="74" t="s">
        <v>298</v>
      </c>
      <c r="DA4" s="74" t="s">
        <v>300</v>
      </c>
      <c r="DB4" s="74" t="s">
        <v>301</v>
      </c>
      <c r="DC4" s="74" t="s">
        <v>304</v>
      </c>
      <c r="DD4" s="74" t="s">
        <v>307</v>
      </c>
      <c r="DE4" s="74" t="s">
        <v>309</v>
      </c>
      <c r="DF4" s="74" t="s">
        <v>311</v>
      </c>
      <c r="DG4" s="74" t="s">
        <v>313</v>
      </c>
      <c r="DH4" s="74" t="s">
        <v>314</v>
      </c>
      <c r="DI4" s="74" t="s">
        <v>317</v>
      </c>
      <c r="DJ4" s="74" t="s">
        <v>319</v>
      </c>
      <c r="DK4" s="74" t="s">
        <v>327</v>
      </c>
      <c r="DL4" s="74" t="s">
        <v>329</v>
      </c>
      <c r="DM4" s="75" t="s">
        <v>331</v>
      </c>
      <c r="DN4" s="74" t="s">
        <v>333</v>
      </c>
      <c r="DO4" s="74" t="s">
        <v>335</v>
      </c>
      <c r="DP4" s="74" t="s">
        <v>337</v>
      </c>
      <c r="DQ4" s="74" t="s">
        <v>339</v>
      </c>
      <c r="DR4" s="74" t="s">
        <v>342</v>
      </c>
      <c r="DS4" s="74" t="s">
        <v>346</v>
      </c>
      <c r="DT4" s="74" t="s">
        <v>350</v>
      </c>
      <c r="DU4" s="75" t="s">
        <v>366</v>
      </c>
      <c r="DV4" s="75" t="s">
        <v>367</v>
      </c>
      <c r="DW4" s="75" t="s">
        <v>368</v>
      </c>
      <c r="DX4" s="75" t="s">
        <v>369</v>
      </c>
      <c r="DY4" s="75" t="s">
        <v>370</v>
      </c>
      <c r="DZ4" s="74" t="s">
        <v>364</v>
      </c>
      <c r="EA4" s="74" t="s">
        <v>373</v>
      </c>
      <c r="EB4" s="74" t="s">
        <v>376</v>
      </c>
      <c r="EC4" s="74" t="s">
        <v>380</v>
      </c>
      <c r="ED4" s="74" t="s">
        <v>383</v>
      </c>
      <c r="EE4" s="74" t="s">
        <v>385</v>
      </c>
      <c r="EF4" s="74" t="s">
        <v>387</v>
      </c>
      <c r="EG4" s="74" t="s">
        <v>388</v>
      </c>
      <c r="EH4" s="74" t="s">
        <v>390</v>
      </c>
      <c r="EI4" s="74" t="s">
        <v>392</v>
      </c>
      <c r="EJ4" s="74" t="s">
        <v>396</v>
      </c>
      <c r="EK4" s="74" t="s">
        <v>397</v>
      </c>
      <c r="EL4" s="74" t="s">
        <v>399</v>
      </c>
      <c r="EM4" s="74" t="s">
        <v>401</v>
      </c>
      <c r="EN4" s="74" t="s">
        <v>403</v>
      </c>
      <c r="EO4" s="74" t="s">
        <v>406</v>
      </c>
      <c r="EP4" s="74" t="s">
        <v>408</v>
      </c>
      <c r="EQ4" s="74" t="s">
        <v>410</v>
      </c>
      <c r="ER4" s="74" t="s">
        <v>413</v>
      </c>
      <c r="ES4" s="74" t="s">
        <v>417</v>
      </c>
      <c r="ET4" s="74" t="s">
        <v>419</v>
      </c>
      <c r="EU4" s="74" t="s">
        <v>421</v>
      </c>
      <c r="EV4" s="74" t="s">
        <v>423</v>
      </c>
      <c r="EW4" s="74" t="s">
        <v>425</v>
      </c>
      <c r="EX4" s="74" t="s">
        <v>428</v>
      </c>
      <c r="EY4" s="74" t="s">
        <v>430</v>
      </c>
      <c r="EZ4" s="74" t="s">
        <v>431</v>
      </c>
      <c r="FA4" s="74" t="s">
        <v>434</v>
      </c>
    </row>
    <row r="5" spans="2:157" ht="54.6" customHeight="1" x14ac:dyDescent="0.4">
      <c r="B5" s="66"/>
      <c r="C5" s="72"/>
      <c r="D5" s="48"/>
      <c r="E5" s="48"/>
      <c r="F5" s="48"/>
      <c r="G5" s="48"/>
      <c r="H5" s="48"/>
      <c r="I5" s="48"/>
      <c r="J5" s="48"/>
      <c r="K5" s="48"/>
      <c r="L5" s="48"/>
      <c r="M5" s="48"/>
      <c r="N5" s="48"/>
      <c r="O5" s="48"/>
      <c r="P5" s="48"/>
      <c r="Q5" s="48"/>
      <c r="R5" s="80"/>
      <c r="S5" s="48"/>
      <c r="T5" s="48"/>
      <c r="U5" s="48"/>
      <c r="V5" s="48"/>
      <c r="W5" s="48"/>
      <c r="X5" s="48"/>
      <c r="Y5" s="76"/>
      <c r="Z5" s="48"/>
      <c r="AA5" s="48"/>
      <c r="AB5" s="48"/>
      <c r="AC5" s="76"/>
      <c r="AD5" s="48"/>
      <c r="AE5" s="48"/>
      <c r="AF5" s="48"/>
      <c r="AG5" s="48"/>
      <c r="AH5" s="48"/>
      <c r="AI5" s="76"/>
      <c r="AJ5" s="76"/>
      <c r="AK5" s="76"/>
      <c r="AL5" s="76"/>
      <c r="AM5" s="76"/>
      <c r="AN5" s="48"/>
      <c r="AO5" s="76"/>
      <c r="AP5" s="76"/>
      <c r="AQ5" s="48"/>
      <c r="AR5" s="76"/>
      <c r="AS5" s="48"/>
      <c r="AT5" s="48"/>
      <c r="AU5" s="48"/>
      <c r="AV5" s="48"/>
      <c r="AW5" s="48"/>
      <c r="AX5" s="76"/>
      <c r="AY5" s="76"/>
      <c r="AZ5" s="48"/>
      <c r="BA5" s="48"/>
      <c r="BB5" s="48"/>
      <c r="BC5" s="48"/>
      <c r="BD5" s="54"/>
      <c r="BE5" s="54"/>
      <c r="BF5" s="54"/>
      <c r="BG5" s="54"/>
      <c r="BH5" s="54"/>
      <c r="BI5" s="54"/>
      <c r="BJ5" s="54"/>
      <c r="BK5" s="54"/>
      <c r="BL5" s="54"/>
      <c r="BM5" s="54"/>
      <c r="BN5" s="54"/>
      <c r="BO5" s="54"/>
      <c r="BP5" s="54"/>
      <c r="BQ5" s="54"/>
      <c r="BR5" s="54"/>
      <c r="BS5" s="54"/>
      <c r="BT5" s="54"/>
      <c r="BU5" s="56"/>
      <c r="BV5" s="56"/>
      <c r="BW5" s="56"/>
      <c r="BX5" s="56"/>
      <c r="BY5" s="56"/>
      <c r="BZ5" s="56"/>
      <c r="CA5" s="54"/>
      <c r="CB5" s="54"/>
      <c r="CC5" s="54"/>
      <c r="CD5" s="54"/>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8"/>
      <c r="DE5" s="48"/>
      <c r="DF5" s="48"/>
      <c r="DG5" s="48"/>
      <c r="DH5" s="48"/>
      <c r="DI5" s="48"/>
      <c r="DJ5" s="48"/>
      <c r="DK5" s="48"/>
      <c r="DL5" s="48"/>
      <c r="DM5" s="76"/>
      <c r="DN5" s="48"/>
      <c r="DO5" s="48"/>
      <c r="DP5" s="48"/>
      <c r="DQ5" s="48"/>
      <c r="DR5" s="48"/>
      <c r="DS5" s="48"/>
      <c r="DT5" s="48"/>
      <c r="DU5" s="76"/>
      <c r="DV5" s="76"/>
      <c r="DW5" s="76"/>
      <c r="DX5" s="76"/>
      <c r="DY5" s="76"/>
      <c r="DZ5" s="48"/>
      <c r="EA5" s="48"/>
      <c r="EB5" s="48"/>
      <c r="EC5" s="48"/>
      <c r="ED5" s="48"/>
      <c r="EE5" s="48"/>
      <c r="EF5" s="48"/>
      <c r="EG5" s="48"/>
      <c r="EH5" s="48"/>
      <c r="EI5" s="48"/>
      <c r="EJ5" s="48"/>
      <c r="EK5" s="48"/>
      <c r="EL5" s="48"/>
      <c r="EM5" s="48"/>
      <c r="EN5" s="48"/>
      <c r="EO5" s="48"/>
      <c r="EP5" s="48"/>
      <c r="EQ5" s="48"/>
      <c r="ER5" s="48"/>
      <c r="ES5" s="48"/>
      <c r="ET5" s="48"/>
      <c r="EU5" s="48"/>
      <c r="EV5" s="48"/>
      <c r="EW5" s="48"/>
      <c r="EX5" s="48"/>
      <c r="EY5" s="48"/>
      <c r="EZ5" s="48"/>
      <c r="FA5" s="48"/>
    </row>
    <row r="6" spans="2:157"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8">
        <v>58</v>
      </c>
      <c r="AY6" s="28">
        <v>49</v>
      </c>
      <c r="AZ6" s="26">
        <v>52</v>
      </c>
      <c r="BA6" s="26">
        <v>53</v>
      </c>
      <c r="BB6" s="26">
        <v>47</v>
      </c>
      <c r="BC6" s="26">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c r="EW6" s="28">
        <v>166</v>
      </c>
      <c r="EX6" s="28">
        <v>164</v>
      </c>
      <c r="EY6" s="28">
        <v>158</v>
      </c>
      <c r="EZ6" s="28">
        <v>149</v>
      </c>
      <c r="FA6" s="28">
        <v>103</v>
      </c>
    </row>
    <row r="7" spans="2:157"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8">
        <v>1</v>
      </c>
      <c r="AY7" s="28">
        <v>2</v>
      </c>
      <c r="AZ7" s="26">
        <v>3</v>
      </c>
      <c r="BA7" s="26">
        <v>3</v>
      </c>
      <c r="BB7" s="26">
        <v>0</v>
      </c>
      <c r="BC7" s="26">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c r="EY7" s="15">
        <v>2</v>
      </c>
      <c r="EZ7" s="15">
        <v>6</v>
      </c>
      <c r="FA7" s="15">
        <v>3</v>
      </c>
    </row>
    <row r="8" spans="2:157"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8">
        <v>6</v>
      </c>
      <c r="AY8" s="28">
        <v>2</v>
      </c>
      <c r="AZ8" s="26">
        <v>3</v>
      </c>
      <c r="BA8" s="26">
        <v>5</v>
      </c>
      <c r="BB8" s="26">
        <v>3</v>
      </c>
      <c r="BC8" s="26">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c r="EW8" s="28">
        <v>15</v>
      </c>
      <c r="EX8" s="28">
        <v>15</v>
      </c>
      <c r="EY8" s="28">
        <v>17</v>
      </c>
      <c r="EZ8" s="28">
        <v>12</v>
      </c>
      <c r="FA8" s="28">
        <v>11</v>
      </c>
    </row>
    <row r="9" spans="2:157"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8">
        <v>28</v>
      </c>
      <c r="AY9" s="28">
        <v>34</v>
      </c>
      <c r="AZ9" s="26">
        <v>24</v>
      </c>
      <c r="BA9" s="26">
        <v>32</v>
      </c>
      <c r="BB9" s="26">
        <v>32</v>
      </c>
      <c r="BC9" s="26">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c r="EY9" s="15">
        <v>94</v>
      </c>
      <c r="EZ9" s="15">
        <v>88</v>
      </c>
      <c r="FA9" s="15">
        <v>89</v>
      </c>
    </row>
    <row r="10" spans="2:157"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8">
        <v>0</v>
      </c>
      <c r="AY10" s="28">
        <v>1</v>
      </c>
      <c r="AZ10" s="26">
        <v>0</v>
      </c>
      <c r="BA10" s="26">
        <v>0</v>
      </c>
      <c r="BB10" s="26">
        <v>0</v>
      </c>
      <c r="BC10" s="26">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c r="EY10" s="15">
        <v>0</v>
      </c>
      <c r="EZ10" s="15">
        <v>0</v>
      </c>
      <c r="FA10" s="15">
        <v>0</v>
      </c>
    </row>
    <row r="11" spans="2:157"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8">
        <v>1</v>
      </c>
      <c r="AY11" s="28">
        <v>5</v>
      </c>
      <c r="AZ11" s="26">
        <v>2</v>
      </c>
      <c r="BA11" s="26">
        <v>3</v>
      </c>
      <c r="BB11" s="26">
        <v>3</v>
      </c>
      <c r="BC11" s="26">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c r="EY11" s="15">
        <v>10</v>
      </c>
      <c r="EZ11" s="15">
        <v>9</v>
      </c>
      <c r="FA11" s="15">
        <v>6</v>
      </c>
    </row>
    <row r="12" spans="2:157"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8">
        <v>4</v>
      </c>
      <c r="AY12" s="28">
        <v>1</v>
      </c>
      <c r="AZ12" s="26">
        <v>0</v>
      </c>
      <c r="BA12" s="26">
        <v>3</v>
      </c>
      <c r="BB12" s="26">
        <v>0</v>
      </c>
      <c r="BC12" s="26">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c r="EY12" s="15">
        <v>10</v>
      </c>
      <c r="EZ12" s="15">
        <v>9</v>
      </c>
      <c r="FA12" s="15">
        <v>7</v>
      </c>
    </row>
    <row r="13" spans="2:157"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8">
        <v>17</v>
      </c>
      <c r="AY13" s="28">
        <v>21</v>
      </c>
      <c r="AZ13" s="26">
        <v>9</v>
      </c>
      <c r="BA13" s="26">
        <v>14</v>
      </c>
      <c r="BB13" s="26">
        <v>18</v>
      </c>
      <c r="BC13" s="26">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c r="EY13" s="15">
        <v>18</v>
      </c>
      <c r="EZ13" s="15">
        <v>24</v>
      </c>
      <c r="FA13" s="15">
        <v>19</v>
      </c>
    </row>
    <row r="14" spans="2:157"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8">
        <v>4</v>
      </c>
      <c r="AY14" s="28">
        <v>7</v>
      </c>
      <c r="AZ14" s="26">
        <v>7</v>
      </c>
      <c r="BA14" s="26">
        <v>5</v>
      </c>
      <c r="BB14" s="26">
        <v>4</v>
      </c>
      <c r="BC14" s="26">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c r="EY14" s="15">
        <v>35</v>
      </c>
      <c r="EZ14" s="15">
        <v>18</v>
      </c>
      <c r="FA14" s="15">
        <v>19</v>
      </c>
    </row>
    <row r="15" spans="2:157"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8">
        <v>2</v>
      </c>
      <c r="AY15" s="28">
        <v>0</v>
      </c>
      <c r="AZ15" s="26">
        <v>0</v>
      </c>
      <c r="BA15" s="26">
        <v>0</v>
      </c>
      <c r="BB15" s="26">
        <v>1</v>
      </c>
      <c r="BC15" s="26">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c r="EY15" s="15">
        <v>2</v>
      </c>
      <c r="EZ15" s="15">
        <v>3</v>
      </c>
      <c r="FA15" s="15">
        <v>2</v>
      </c>
    </row>
    <row r="16" spans="2:157"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8">
        <v>48</v>
      </c>
      <c r="AY16" s="28">
        <v>33</v>
      </c>
      <c r="AZ16" s="26">
        <v>30</v>
      </c>
      <c r="BA16" s="26">
        <v>17</v>
      </c>
      <c r="BB16" s="26">
        <v>25</v>
      </c>
      <c r="BC16" s="26">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c r="EW16" s="28">
        <v>171</v>
      </c>
      <c r="EX16" s="28">
        <v>214</v>
      </c>
      <c r="EY16" s="28">
        <v>167</v>
      </c>
      <c r="EZ16" s="28">
        <v>194</v>
      </c>
      <c r="FA16" s="28">
        <v>154</v>
      </c>
    </row>
    <row r="17" spans="2:157"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8">
        <v>93</v>
      </c>
      <c r="AY17" s="28">
        <v>79</v>
      </c>
      <c r="AZ17" s="26">
        <v>89</v>
      </c>
      <c r="BA17" s="26">
        <v>70</v>
      </c>
      <c r="BB17" s="26">
        <v>63</v>
      </c>
      <c r="BC17" s="26">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c r="EY17" s="15">
        <v>191</v>
      </c>
      <c r="EZ17" s="15">
        <v>156</v>
      </c>
      <c r="FA17" s="15">
        <v>138</v>
      </c>
    </row>
    <row r="18" spans="2:157"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8">
        <v>569</v>
      </c>
      <c r="AY18" s="28">
        <v>544</v>
      </c>
      <c r="AZ18" s="26">
        <v>413</v>
      </c>
      <c r="BA18" s="26">
        <v>430</v>
      </c>
      <c r="BB18" s="26">
        <v>449</v>
      </c>
      <c r="BC18" s="26">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c r="EW18" s="34">
        <v>2662</v>
      </c>
      <c r="EX18" s="34">
        <v>2849</v>
      </c>
      <c r="EY18" s="34">
        <v>2549</v>
      </c>
      <c r="EZ18" s="34">
        <v>2276</v>
      </c>
      <c r="FA18" s="34">
        <v>1942</v>
      </c>
    </row>
    <row r="19" spans="2:157" ht="39.950000000000003" customHeight="1" x14ac:dyDescent="0.4">
      <c r="B19" s="77"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8">
        <v>20</v>
      </c>
      <c r="AY19" s="28">
        <v>9</v>
      </c>
      <c r="AZ19" s="26">
        <v>5</v>
      </c>
      <c r="BA19" s="26">
        <v>8</v>
      </c>
      <c r="BB19" s="26">
        <v>13</v>
      </c>
      <c r="BC19" s="26">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c r="EY19" s="15">
        <v>105</v>
      </c>
      <c r="EZ19" s="15">
        <v>81</v>
      </c>
      <c r="FA19" s="15">
        <v>74</v>
      </c>
    </row>
    <row r="20" spans="2:157" ht="39.950000000000003" customHeight="1" x14ac:dyDescent="0.4">
      <c r="B20" s="81"/>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8">
        <v>76</v>
      </c>
      <c r="AY20" s="28">
        <v>60</v>
      </c>
      <c r="AZ20" s="26">
        <v>41</v>
      </c>
      <c r="BA20" s="26">
        <v>41</v>
      </c>
      <c r="BB20" s="26">
        <v>42</v>
      </c>
      <c r="BC20" s="26">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c r="EW20" s="28">
        <v>436</v>
      </c>
      <c r="EX20" s="28">
        <v>457</v>
      </c>
      <c r="EY20" s="28">
        <v>414</v>
      </c>
      <c r="EZ20" s="28">
        <v>301</v>
      </c>
      <c r="FA20" s="28">
        <v>299</v>
      </c>
    </row>
    <row r="21" spans="2:157" ht="39.950000000000003" customHeight="1" x14ac:dyDescent="0.4">
      <c r="B21" s="78"/>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8">
        <v>11</v>
      </c>
      <c r="AY21" s="28">
        <v>20</v>
      </c>
      <c r="AZ21" s="26">
        <v>26</v>
      </c>
      <c r="BA21" s="26">
        <v>35</v>
      </c>
      <c r="BB21" s="26">
        <v>20</v>
      </c>
      <c r="BC21" s="26">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c r="EY21" s="15">
        <v>49</v>
      </c>
      <c r="EZ21" s="15">
        <v>46</v>
      </c>
      <c r="FA21" s="15">
        <v>59</v>
      </c>
    </row>
    <row r="22" spans="2:157"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8">
        <v>21</v>
      </c>
      <c r="AY22" s="28">
        <v>23</v>
      </c>
      <c r="AZ22" s="26">
        <v>21</v>
      </c>
      <c r="BA22" s="26">
        <v>21</v>
      </c>
      <c r="BB22" s="26">
        <v>20</v>
      </c>
      <c r="BC22" s="26">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c r="EY22" s="15">
        <v>12</v>
      </c>
      <c r="EZ22" s="15">
        <v>5</v>
      </c>
      <c r="FA22" s="15">
        <v>15</v>
      </c>
    </row>
    <row r="23" spans="2:157"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8">
        <v>1</v>
      </c>
      <c r="AY23" s="28">
        <v>0</v>
      </c>
      <c r="AZ23" s="26">
        <v>0</v>
      </c>
      <c r="BA23" s="26">
        <v>0</v>
      </c>
      <c r="BB23" s="26">
        <v>0</v>
      </c>
      <c r="BC23" s="26">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c r="EY23" s="15">
        <v>2</v>
      </c>
      <c r="EZ23" s="15">
        <v>1</v>
      </c>
      <c r="FA23" s="15">
        <v>1</v>
      </c>
    </row>
    <row r="24" spans="2:157"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8">
        <v>2</v>
      </c>
      <c r="AY24" s="28">
        <v>1</v>
      </c>
      <c r="AZ24" s="26">
        <v>2</v>
      </c>
      <c r="BA24" s="26">
        <v>3</v>
      </c>
      <c r="BB24" s="26">
        <v>1</v>
      </c>
      <c r="BC24" s="26">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c r="EY24" s="15">
        <v>9</v>
      </c>
      <c r="EZ24" s="15">
        <v>3</v>
      </c>
      <c r="FA24" s="15">
        <v>20</v>
      </c>
    </row>
    <row r="25" spans="2:157"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8">
        <v>0</v>
      </c>
      <c r="AY25" s="28">
        <v>0</v>
      </c>
      <c r="AZ25" s="26">
        <v>0</v>
      </c>
      <c r="BA25" s="26">
        <v>0</v>
      </c>
      <c r="BB25" s="26">
        <v>0</v>
      </c>
      <c r="BC25" s="26">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c r="EY25" s="15">
        <v>0</v>
      </c>
      <c r="EZ25" s="15">
        <v>2</v>
      </c>
      <c r="FA25" s="15">
        <v>0</v>
      </c>
    </row>
    <row r="26" spans="2:157"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8">
        <v>5</v>
      </c>
      <c r="AY26" s="28">
        <v>2</v>
      </c>
      <c r="AZ26" s="26">
        <v>3</v>
      </c>
      <c r="BA26" s="26">
        <v>4</v>
      </c>
      <c r="BB26" s="26">
        <v>11</v>
      </c>
      <c r="BC26" s="26">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c r="EY26" s="15">
        <v>12</v>
      </c>
      <c r="EZ26" s="15">
        <v>11</v>
      </c>
      <c r="FA26" s="15">
        <v>10</v>
      </c>
    </row>
    <row r="27" spans="2:157"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8">
        <v>0</v>
      </c>
      <c r="AY27" s="28">
        <v>0</v>
      </c>
      <c r="AZ27" s="26">
        <v>0</v>
      </c>
      <c r="BA27" s="26">
        <v>1</v>
      </c>
      <c r="BB27" s="26">
        <v>0</v>
      </c>
      <c r="BC27" s="26">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c r="EY27" s="15">
        <v>0</v>
      </c>
      <c r="EZ27" s="15">
        <v>1</v>
      </c>
      <c r="FA27" s="15">
        <v>0</v>
      </c>
    </row>
    <row r="28" spans="2:157"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8">
        <v>1</v>
      </c>
      <c r="AY28" s="28">
        <v>1</v>
      </c>
      <c r="AZ28" s="26">
        <v>2</v>
      </c>
      <c r="BA28" s="26">
        <v>0</v>
      </c>
      <c r="BB28" s="26">
        <v>0</v>
      </c>
      <c r="BC28" s="26">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c r="EY28" s="15">
        <v>0</v>
      </c>
      <c r="EZ28" s="15">
        <v>2</v>
      </c>
      <c r="FA28" s="15">
        <v>3</v>
      </c>
    </row>
    <row r="29" spans="2:157" ht="39.950000000000003" customHeight="1" x14ac:dyDescent="0.4">
      <c r="B29" s="82"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8">
        <v>4</v>
      </c>
      <c r="AY29" s="28">
        <v>2</v>
      </c>
      <c r="AZ29" s="26">
        <v>2</v>
      </c>
      <c r="BA29" s="26">
        <v>0</v>
      </c>
      <c r="BB29" s="26">
        <v>2</v>
      </c>
      <c r="BC29" s="26">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c r="EY29" s="15">
        <v>2</v>
      </c>
      <c r="EZ29" s="15">
        <v>3</v>
      </c>
      <c r="FA29" s="15">
        <v>2</v>
      </c>
    </row>
    <row r="30" spans="2:157" ht="39.950000000000003" customHeight="1" x14ac:dyDescent="0.4">
      <c r="B30" s="83"/>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8">
        <v>1</v>
      </c>
      <c r="AY30" s="28">
        <v>6</v>
      </c>
      <c r="AZ30" s="26">
        <v>1</v>
      </c>
      <c r="BA30" s="26">
        <v>3</v>
      </c>
      <c r="BB30" s="26">
        <v>0</v>
      </c>
      <c r="BC30" s="26">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c r="EY30" s="15">
        <v>6</v>
      </c>
      <c r="EZ30" s="15">
        <v>17</v>
      </c>
      <c r="FA30" s="15">
        <v>25</v>
      </c>
    </row>
    <row r="31" spans="2:157"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8">
        <v>15</v>
      </c>
      <c r="AY31" s="28">
        <v>8</v>
      </c>
      <c r="AZ31" s="26">
        <v>8</v>
      </c>
      <c r="BA31" s="26">
        <v>12</v>
      </c>
      <c r="BB31" s="26">
        <v>18</v>
      </c>
      <c r="BC31" s="26">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c r="EY31" s="15">
        <v>79</v>
      </c>
      <c r="EZ31" s="15">
        <v>66</v>
      </c>
      <c r="FA31" s="15">
        <v>64</v>
      </c>
    </row>
    <row r="32" spans="2:157"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8">
        <v>1</v>
      </c>
      <c r="AY32" s="28">
        <v>0</v>
      </c>
      <c r="AZ32" s="26">
        <v>0</v>
      </c>
      <c r="BA32" s="26">
        <v>0</v>
      </c>
      <c r="BB32" s="26">
        <v>0</v>
      </c>
      <c r="BC32" s="26">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c r="EY32" s="15">
        <v>1</v>
      </c>
      <c r="EZ32" s="15">
        <v>2</v>
      </c>
      <c r="FA32" s="15">
        <v>0</v>
      </c>
    </row>
    <row r="33" spans="2:157"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8">
        <v>0</v>
      </c>
      <c r="AY33" s="28">
        <v>0</v>
      </c>
      <c r="AZ33" s="26">
        <v>0</v>
      </c>
      <c r="BA33" s="26">
        <v>0</v>
      </c>
      <c r="BB33" s="26">
        <v>0</v>
      </c>
      <c r="BC33" s="26">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c r="EY33" s="15">
        <v>0</v>
      </c>
      <c r="EZ33" s="15">
        <v>2</v>
      </c>
      <c r="FA33" s="15">
        <v>0</v>
      </c>
    </row>
    <row r="34" spans="2:157"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8">
        <v>24</v>
      </c>
      <c r="AY34" s="28">
        <v>16</v>
      </c>
      <c r="AZ34" s="26">
        <v>23</v>
      </c>
      <c r="BA34" s="26">
        <v>10</v>
      </c>
      <c r="BB34" s="26">
        <v>13</v>
      </c>
      <c r="BC34" s="26">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c r="EY34" s="15">
        <v>117</v>
      </c>
      <c r="EZ34" s="15">
        <v>90</v>
      </c>
      <c r="FA34" s="15">
        <v>88</v>
      </c>
    </row>
    <row r="35" spans="2:157" ht="39.950000000000003" customHeight="1" x14ac:dyDescent="0.4">
      <c r="B35" s="77"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8">
        <v>143</v>
      </c>
      <c r="AY35" s="28">
        <v>129</v>
      </c>
      <c r="AZ35" s="26">
        <v>103</v>
      </c>
      <c r="BA35" s="26">
        <v>129</v>
      </c>
      <c r="BB35" s="26">
        <v>150</v>
      </c>
      <c r="BC35" s="26">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c r="EY35" s="15">
        <v>660</v>
      </c>
      <c r="EZ35" s="15">
        <v>670</v>
      </c>
      <c r="FA35" s="15">
        <v>605</v>
      </c>
    </row>
    <row r="36" spans="2:157" ht="39.950000000000003" customHeight="1" x14ac:dyDescent="0.4">
      <c r="B36" s="78"/>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8">
        <v>19</v>
      </c>
      <c r="AY36" s="28">
        <v>20</v>
      </c>
      <c r="AZ36" s="26">
        <v>16</v>
      </c>
      <c r="BA36" s="26">
        <v>20</v>
      </c>
      <c r="BB36" s="26">
        <v>15</v>
      </c>
      <c r="BC36" s="26">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c r="EW36" s="28">
        <v>131</v>
      </c>
      <c r="EX36" s="28">
        <v>120</v>
      </c>
      <c r="EY36" s="28">
        <v>81</v>
      </c>
      <c r="EZ36" s="28">
        <v>94</v>
      </c>
      <c r="FA36" s="28">
        <v>102</v>
      </c>
    </row>
    <row r="37" spans="2:157"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8">
        <v>15</v>
      </c>
      <c r="AY37" s="28">
        <v>9</v>
      </c>
      <c r="AZ37" s="26">
        <v>4</v>
      </c>
      <c r="BA37" s="26">
        <v>15</v>
      </c>
      <c r="BB37" s="26">
        <v>10</v>
      </c>
      <c r="BC37" s="26">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c r="EY37" s="15">
        <v>113</v>
      </c>
      <c r="EZ37" s="15">
        <v>117</v>
      </c>
      <c r="FA37" s="15">
        <v>105</v>
      </c>
    </row>
    <row r="38" spans="2:157"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8">
        <v>1</v>
      </c>
      <c r="AY38" s="28">
        <v>8</v>
      </c>
      <c r="AZ38" s="26">
        <v>3</v>
      </c>
      <c r="BA38" s="26">
        <v>0</v>
      </c>
      <c r="BB38" s="26">
        <v>7</v>
      </c>
      <c r="BC38" s="26">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c r="EY38" s="15">
        <v>33</v>
      </c>
      <c r="EZ38" s="15">
        <v>26</v>
      </c>
      <c r="FA38" s="15">
        <v>35</v>
      </c>
    </row>
    <row r="39" spans="2:157"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8">
        <v>4</v>
      </c>
      <c r="AY39" s="28">
        <v>6</v>
      </c>
      <c r="AZ39" s="26">
        <v>2</v>
      </c>
      <c r="BA39" s="26">
        <v>8</v>
      </c>
      <c r="BB39" s="26">
        <v>5</v>
      </c>
      <c r="BC39" s="26">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c r="EY39" s="15">
        <v>21</v>
      </c>
      <c r="EZ39" s="15">
        <v>6</v>
      </c>
      <c r="FA39" s="15">
        <v>10</v>
      </c>
    </row>
    <row r="40" spans="2:157"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8">
        <v>0</v>
      </c>
      <c r="AY40" s="28">
        <v>0</v>
      </c>
      <c r="AZ40" s="26">
        <v>0</v>
      </c>
      <c r="BA40" s="26">
        <v>0</v>
      </c>
      <c r="BB40" s="26">
        <v>0</v>
      </c>
      <c r="BC40" s="26">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c r="EY40" s="15">
        <v>0</v>
      </c>
      <c r="EZ40" s="15">
        <v>1</v>
      </c>
      <c r="FA40" s="15">
        <v>0</v>
      </c>
    </row>
    <row r="41" spans="2:157"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8">
        <v>0</v>
      </c>
      <c r="AY41" s="28">
        <v>0</v>
      </c>
      <c r="AZ41" s="26">
        <v>0</v>
      </c>
      <c r="BA41" s="26">
        <v>0</v>
      </c>
      <c r="BB41" s="26">
        <v>0</v>
      </c>
      <c r="BC41" s="26">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c r="EY41" s="15">
        <v>0</v>
      </c>
      <c r="EZ41" s="15">
        <v>1</v>
      </c>
      <c r="FA41" s="15">
        <v>0</v>
      </c>
    </row>
    <row r="42" spans="2:157"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8">
        <v>3</v>
      </c>
      <c r="AY42" s="28">
        <v>0</v>
      </c>
      <c r="AZ42" s="26">
        <v>2</v>
      </c>
      <c r="BA42" s="26">
        <v>0</v>
      </c>
      <c r="BB42" s="26">
        <v>2</v>
      </c>
      <c r="BC42" s="26">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c r="EY42" s="15">
        <v>21</v>
      </c>
      <c r="EZ42" s="15">
        <v>8</v>
      </c>
      <c r="FA42" s="15">
        <v>16</v>
      </c>
    </row>
    <row r="43" spans="2:157"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8">
        <v>37</v>
      </c>
      <c r="AY43" s="28">
        <v>24</v>
      </c>
      <c r="AZ43" s="26">
        <v>23</v>
      </c>
      <c r="BA43" s="26">
        <v>14</v>
      </c>
      <c r="BB43" s="26">
        <v>44</v>
      </c>
      <c r="BC43" s="26">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c r="EW43" s="28">
        <v>67</v>
      </c>
      <c r="EX43" s="28">
        <v>86</v>
      </c>
      <c r="EY43" s="28">
        <v>57</v>
      </c>
      <c r="EZ43" s="28">
        <v>52</v>
      </c>
      <c r="FA43" s="28">
        <v>52</v>
      </c>
    </row>
    <row r="44" spans="2:157"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8">
        <v>2</v>
      </c>
      <c r="AY44" s="28">
        <v>2</v>
      </c>
      <c r="AZ44" s="26">
        <v>2</v>
      </c>
      <c r="BA44" s="26">
        <v>0</v>
      </c>
      <c r="BB44" s="26">
        <v>3</v>
      </c>
      <c r="BC44" s="26">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c r="EY44" s="15">
        <v>8</v>
      </c>
      <c r="EZ44" s="15">
        <v>6</v>
      </c>
      <c r="FA44" s="15">
        <v>9</v>
      </c>
    </row>
    <row r="45" spans="2:157"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8">
        <v>0</v>
      </c>
      <c r="AY45" s="28">
        <v>4</v>
      </c>
      <c r="AZ45" s="26">
        <v>3</v>
      </c>
      <c r="BA45" s="26">
        <v>5</v>
      </c>
      <c r="BB45" s="26">
        <v>4</v>
      </c>
      <c r="BC45" s="26">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c r="EY45" s="15">
        <v>7</v>
      </c>
      <c r="EZ45" s="15">
        <v>14</v>
      </c>
      <c r="FA45" s="15">
        <v>9</v>
      </c>
    </row>
    <row r="46" spans="2:157"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8">
        <v>4</v>
      </c>
      <c r="AY46" s="28">
        <v>5</v>
      </c>
      <c r="AZ46" s="26">
        <v>2</v>
      </c>
      <c r="BA46" s="26">
        <v>2</v>
      </c>
      <c r="BB46" s="26">
        <v>4</v>
      </c>
      <c r="BC46" s="26">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c r="EY46" s="15">
        <v>23</v>
      </c>
      <c r="EZ46" s="15">
        <v>21</v>
      </c>
      <c r="FA46" s="15">
        <v>17</v>
      </c>
    </row>
    <row r="47" spans="2:157"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8">
        <v>0</v>
      </c>
      <c r="AY47" s="28">
        <v>3</v>
      </c>
      <c r="AZ47" s="26">
        <v>2</v>
      </c>
      <c r="BA47" s="26">
        <v>1</v>
      </c>
      <c r="BB47" s="26">
        <v>0</v>
      </c>
      <c r="BC47" s="26">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c r="EY47" s="15">
        <v>1</v>
      </c>
      <c r="EZ47" s="15">
        <v>2</v>
      </c>
      <c r="FA47" s="15">
        <v>1</v>
      </c>
    </row>
    <row r="48" spans="2:157"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8">
        <v>9</v>
      </c>
      <c r="AY48" s="28">
        <v>8</v>
      </c>
      <c r="AZ48" s="26">
        <v>7</v>
      </c>
      <c r="BA48" s="26">
        <v>2</v>
      </c>
      <c r="BB48" s="26">
        <v>9</v>
      </c>
      <c r="BC48" s="26">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c r="EY48" s="15">
        <v>9</v>
      </c>
      <c r="EZ48" s="15">
        <v>71</v>
      </c>
      <c r="FA48" s="15">
        <v>6</v>
      </c>
    </row>
    <row r="49" spans="2:157" ht="39.950000000000003" customHeight="1" x14ac:dyDescent="0.4">
      <c r="B49" s="77"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8">
        <v>11</v>
      </c>
      <c r="AY49" s="28">
        <v>9</v>
      </c>
      <c r="AZ49" s="26">
        <v>8</v>
      </c>
      <c r="BA49" s="26">
        <v>10</v>
      </c>
      <c r="BB49" s="26">
        <v>6</v>
      </c>
      <c r="BC49" s="26">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c r="EY49" s="15">
        <v>84</v>
      </c>
      <c r="EZ49" s="15">
        <v>69</v>
      </c>
      <c r="FA49" s="15">
        <v>52</v>
      </c>
    </row>
    <row r="50" spans="2:157" ht="39.950000000000003" customHeight="1" x14ac:dyDescent="0.4">
      <c r="B50" s="78"/>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8">
        <v>2</v>
      </c>
      <c r="AY50" s="28">
        <v>1</v>
      </c>
      <c r="AZ50" s="26">
        <v>1</v>
      </c>
      <c r="BA50" s="26">
        <v>4</v>
      </c>
      <c r="BB50" s="26">
        <v>2</v>
      </c>
      <c r="BC50" s="26">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c r="EY50" s="15">
        <v>80</v>
      </c>
      <c r="EZ50" s="15">
        <v>32</v>
      </c>
      <c r="FA50" s="15">
        <v>12</v>
      </c>
    </row>
    <row r="51" spans="2:157"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8">
        <v>3</v>
      </c>
      <c r="AY51" s="28">
        <v>3</v>
      </c>
      <c r="AZ51" s="26">
        <v>1</v>
      </c>
      <c r="BA51" s="26">
        <v>2</v>
      </c>
      <c r="BB51" s="26">
        <v>1</v>
      </c>
      <c r="BC51" s="26">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c r="EY51" s="15">
        <v>11</v>
      </c>
      <c r="EZ51" s="15">
        <v>8</v>
      </c>
      <c r="FA51" s="15">
        <v>3</v>
      </c>
    </row>
    <row r="52" spans="2:157"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8">
        <v>5</v>
      </c>
      <c r="AY52" s="28">
        <v>2</v>
      </c>
      <c r="AZ52" s="26">
        <v>6</v>
      </c>
      <c r="BA52" s="26">
        <v>0</v>
      </c>
      <c r="BB52" s="26">
        <v>4</v>
      </c>
      <c r="BC52" s="26">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c r="EY52" s="15">
        <v>21</v>
      </c>
      <c r="EZ52" s="15">
        <v>16</v>
      </c>
      <c r="FA52" s="15">
        <v>18</v>
      </c>
    </row>
    <row r="53" spans="2:157"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8">
        <v>10</v>
      </c>
      <c r="AY53" s="28">
        <v>12</v>
      </c>
      <c r="AZ53" s="26">
        <v>6</v>
      </c>
      <c r="BA53" s="26">
        <v>6</v>
      </c>
      <c r="BB53" s="26">
        <v>10</v>
      </c>
      <c r="BC53" s="26">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c r="EY53" s="15">
        <v>33</v>
      </c>
      <c r="EZ53" s="15">
        <v>21</v>
      </c>
      <c r="FA53" s="15">
        <v>45</v>
      </c>
    </row>
    <row r="54" spans="2:157"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8">
        <v>4</v>
      </c>
      <c r="AY54" s="28">
        <v>3</v>
      </c>
      <c r="AZ54" s="26">
        <v>4</v>
      </c>
      <c r="BA54" s="26">
        <v>6</v>
      </c>
      <c r="BB54" s="26">
        <v>2</v>
      </c>
      <c r="BC54" s="26">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c r="EY54" s="15">
        <v>19</v>
      </c>
      <c r="EZ54" s="15">
        <v>18</v>
      </c>
      <c r="FA54" s="15">
        <v>9</v>
      </c>
    </row>
    <row r="55" spans="2:157"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8">
        <v>8</v>
      </c>
      <c r="AY55" s="28">
        <v>6</v>
      </c>
      <c r="AZ55" s="26">
        <v>8</v>
      </c>
      <c r="BA55" s="26">
        <v>9</v>
      </c>
      <c r="BB55" s="26">
        <v>11</v>
      </c>
      <c r="BC55" s="26">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c r="EY55" s="15">
        <v>13</v>
      </c>
      <c r="EZ55" s="15">
        <v>8</v>
      </c>
      <c r="FA55" s="15">
        <v>13</v>
      </c>
    </row>
    <row r="56" spans="2:157"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8">
        <v>3</v>
      </c>
      <c r="AY56" s="28">
        <v>2</v>
      </c>
      <c r="AZ56" s="26">
        <v>0</v>
      </c>
      <c r="BA56" s="26">
        <v>4</v>
      </c>
      <c r="BB56" s="26">
        <v>0</v>
      </c>
      <c r="BC56" s="26">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c r="EY56" s="15">
        <v>1</v>
      </c>
      <c r="EZ56" s="15">
        <v>1</v>
      </c>
      <c r="FA56" s="15">
        <v>1</v>
      </c>
    </row>
    <row r="57" spans="2:157"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8">
        <v>0</v>
      </c>
      <c r="AY57" s="28">
        <v>0</v>
      </c>
      <c r="AZ57" s="26">
        <v>0</v>
      </c>
      <c r="BA57" s="26">
        <v>0</v>
      </c>
      <c r="BB57" s="26">
        <v>0</v>
      </c>
      <c r="BC57" s="26">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c r="EY57" s="15">
        <v>1</v>
      </c>
      <c r="EZ57" s="15">
        <v>2</v>
      </c>
      <c r="FA57" s="15">
        <v>2</v>
      </c>
    </row>
    <row r="58" spans="2:157"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43">
        <f t="shared" si="0"/>
        <v>1296</v>
      </c>
      <c r="AY58" s="43">
        <f t="shared" si="0"/>
        <v>1182</v>
      </c>
      <c r="AZ58" s="27">
        <f t="shared" si="0"/>
        <v>969</v>
      </c>
      <c r="BA58" s="27">
        <f t="shared" si="0"/>
        <v>1010</v>
      </c>
      <c r="BB58" s="27">
        <f t="shared" si="0"/>
        <v>1074</v>
      </c>
      <c r="BC58" s="27">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Z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c r="EY58" s="14">
        <f t="shared" ref="EY58" si="9">SUM(EY6:EY57)</f>
        <v>5358</v>
      </c>
      <c r="EZ58" s="14">
        <f t="shared" si="8"/>
        <v>4841</v>
      </c>
      <c r="FA58" s="14">
        <f t="shared" ref="FA58" si="10">SUM(FA6:FA57)</f>
        <v>4275</v>
      </c>
    </row>
  </sheetData>
  <mergeCells count="171">
    <mergeCell ref="CR3:DC3"/>
    <mergeCell ref="BD2:DC2"/>
    <mergeCell ref="FA4:FA5"/>
    <mergeCell ref="DD2:FA2"/>
    <mergeCell ref="ER3:FA3"/>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 ref="DA4:DA5"/>
    <mergeCell ref="CW4:CW5"/>
    <mergeCell ref="CV4:CV5"/>
    <mergeCell ref="DD4:DD5"/>
    <mergeCell ref="CZ4:CZ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D3:CQ3"/>
    <mergeCell ref="AZ4:AZ5"/>
    <mergeCell ref="CP4:CP5"/>
    <mergeCell ref="CN4:CN5"/>
    <mergeCell ref="CC4:CC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D2:BC2"/>
    <mergeCell ref="AX4:AX5"/>
    <mergeCell ref="AY4:AY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AE4:AE5"/>
    <mergeCell ref="BB4:BB5"/>
    <mergeCell ref="BC4:BC5"/>
    <mergeCell ref="AL4:AL5"/>
    <mergeCell ref="W4:W5"/>
    <mergeCell ref="AH4:AH5"/>
    <mergeCell ref="BY4:BY5"/>
    <mergeCell ref="BV4:BV5"/>
    <mergeCell ref="BA4:BA5"/>
    <mergeCell ref="BX4:BX5"/>
    <mergeCell ref="AD4:AD5"/>
    <mergeCell ref="AM4:AM5"/>
    <mergeCell ref="AP4:AP5"/>
    <mergeCell ref="AT4:AT5"/>
    <mergeCell ref="AO4:AO5"/>
    <mergeCell ref="CE4:CE5"/>
    <mergeCell ref="CH4:CH5"/>
    <mergeCell ref="EA4:EA5"/>
    <mergeCell ref="BW4:BW5"/>
    <mergeCell ref="AR4:AR5"/>
    <mergeCell ref="CL4:CL5"/>
    <mergeCell ref="CJ4:CJ5"/>
    <mergeCell ref="CT4:CT5"/>
    <mergeCell ref="DR4:DR5"/>
    <mergeCell ref="DQ4:DQ5"/>
    <mergeCell ref="AU4:AU5"/>
    <mergeCell ref="AV4:AV5"/>
    <mergeCell ref="AW4:AW5"/>
    <mergeCell ref="CB4:CB5"/>
    <mergeCell ref="BD4:BD5"/>
    <mergeCell ref="BF4:BF5"/>
    <mergeCell ref="BU4:BU5"/>
    <mergeCell ref="DZ4:DZ5"/>
    <mergeCell ref="DP4:DP5"/>
    <mergeCell ref="DB4:DB5"/>
    <mergeCell ref="AS4:AS5"/>
    <mergeCell ref="DM4:DM5"/>
    <mergeCell ref="DL4:DL5"/>
    <mergeCell ref="DG4:DG5"/>
    <mergeCell ref="CY4:CY5"/>
    <mergeCell ref="CF4:CF5"/>
    <mergeCell ref="CG4:CG5"/>
    <mergeCell ref="CO4:CO5"/>
    <mergeCell ref="CM4:CM5"/>
    <mergeCell ref="CK4:CK5"/>
    <mergeCell ref="CR4:CR5"/>
    <mergeCell ref="CQ4:CQ5"/>
    <mergeCell ref="DC4:DC5"/>
    <mergeCell ref="EY4:EY5"/>
    <mergeCell ref="EZ4:EZ5"/>
    <mergeCell ref="EG4:EG5"/>
    <mergeCell ref="EE4:EE5"/>
    <mergeCell ref="DS4:DS5"/>
    <mergeCell ref="DV4:DV5"/>
    <mergeCell ref="EB4:EB5"/>
    <mergeCell ref="ET4:ET5"/>
    <mergeCell ref="ES4:ES5"/>
    <mergeCell ref="EH4:EH5"/>
    <mergeCell ref="EQ4:EQ5"/>
    <mergeCell ref="EM4:EM5"/>
    <mergeCell ref="EL4:EL5"/>
    <mergeCell ref="EK4:EK5"/>
    <mergeCell ref="EJ4:EJ5"/>
    <mergeCell ref="DX4:DX5"/>
    <mergeCell ref="DD3:EQ3"/>
    <mergeCell ref="ER4:ER5"/>
    <mergeCell ref="EP4:EP5"/>
    <mergeCell ref="EO4:EO5"/>
    <mergeCell ref="EF4:EF5"/>
    <mergeCell ref="DK4:DK5"/>
    <mergeCell ref="DH4:DH5"/>
    <mergeCell ref="ED4:ED5"/>
    <mergeCell ref="EN4:EN5"/>
    <mergeCell ref="DN4:DN5"/>
    <mergeCell ref="DT4:DT5"/>
    <mergeCell ref="EC4:EC5"/>
    <mergeCell ref="EI4:EI5"/>
    <mergeCell ref="DJ4:DJ5"/>
    <mergeCell ref="DI4:DI5"/>
    <mergeCell ref="DO4:DO5"/>
  </mergeCells>
  <phoneticPr fontId="2"/>
  <conditionalFormatting sqref="DJ6:DN57">
    <cfRule type="containsBlanks" dxfId="12" priority="9">
      <formula>LEN(TRIM(DJ6))=0</formula>
    </cfRule>
  </conditionalFormatting>
  <conditionalFormatting sqref="DO6:DO57">
    <cfRule type="containsBlanks" dxfId="11" priority="8">
      <formula>LEN(TRIM(DO6))=0</formula>
    </cfRule>
  </conditionalFormatting>
  <conditionalFormatting sqref="EH6:EX57 EZ6:EZ57">
    <cfRule type="containsBlanks" dxfId="10" priority="10">
      <formula>LEN(TRIM(EH6))=0</formula>
    </cfRule>
  </conditionalFormatting>
  <conditionalFormatting sqref="EY6:EY57">
    <cfRule type="containsBlanks" dxfId="9" priority="2">
      <formula>LEN(TRIM(EY6))=0</formula>
    </cfRule>
  </conditionalFormatting>
  <conditionalFormatting sqref="FA6:FA57">
    <cfRule type="containsBlanks" dxfId="8" priority="1">
      <formula>LEN(TRIM(FA6))=0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4" manualBreakCount="4">
    <brk id="55" max="64" man="1"/>
    <brk id="81" max="64" man="1"/>
    <brk id="107" max="64" man="1"/>
    <brk id="14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7"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A61"/>
  <sheetViews>
    <sheetView view="pageBreakPreview" zoomScale="70" zoomScaleNormal="55" zoomScaleSheetLayoutView="70" workbookViewId="0">
      <pane xSplit="3" ySplit="5" topLeftCell="CR15" activePane="bottomRight" state="frozen"/>
      <selection pane="topRight" activeCell="D1" sqref="D1"/>
      <selection pane="bottomLeft" activeCell="A5" sqref="A5"/>
      <selection pane="bottomRight" activeCell="DA58" sqref="DA58"/>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05" width="10.875" style="1" customWidth="1"/>
    <col min="106" max="16384" width="8.625" style="1"/>
  </cols>
  <sheetData>
    <row r="1" spans="1:105"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t="s">
        <v>290</v>
      </c>
    </row>
    <row r="2" spans="1:105" ht="32.450000000000003" customHeight="1" x14ac:dyDescent="0.4">
      <c r="B2" s="59"/>
      <c r="C2" s="60"/>
      <c r="D2" s="58" t="s">
        <v>241</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4"/>
      <c r="BD2" s="73" t="s">
        <v>324</v>
      </c>
      <c r="BE2" s="73"/>
      <c r="BF2" s="73"/>
      <c r="BG2" s="73"/>
      <c r="BH2" s="73"/>
      <c r="BI2" s="73"/>
      <c r="BJ2" s="73"/>
      <c r="BK2" s="73"/>
      <c r="BL2" s="73"/>
      <c r="BM2" s="73"/>
      <c r="BN2" s="73"/>
      <c r="BO2" s="73"/>
      <c r="BP2" s="73"/>
      <c r="BQ2" s="73"/>
      <c r="BR2" s="73"/>
      <c r="BS2" s="73"/>
      <c r="BT2" s="73"/>
      <c r="BU2" s="73"/>
      <c r="BV2" s="73"/>
      <c r="BW2" s="73"/>
      <c r="BX2" s="73"/>
      <c r="BY2" s="73"/>
      <c r="BZ2" s="73"/>
      <c r="CA2" s="73"/>
      <c r="CB2" s="73"/>
      <c r="CC2" s="73"/>
      <c r="CD2" s="73"/>
      <c r="CE2" s="73"/>
      <c r="CF2" s="73"/>
      <c r="CG2" s="73"/>
      <c r="CH2" s="73"/>
      <c r="CI2" s="73"/>
      <c r="CJ2" s="73"/>
      <c r="CK2" s="73"/>
      <c r="CL2" s="73"/>
      <c r="CM2" s="73"/>
      <c r="CN2" s="73"/>
      <c r="CO2" s="73"/>
      <c r="CP2" s="73"/>
      <c r="CQ2" s="73"/>
      <c r="CR2" s="73"/>
      <c r="CS2" s="73"/>
      <c r="CT2" s="73"/>
      <c r="CU2" s="73"/>
      <c r="CV2" s="73"/>
      <c r="CW2" s="73"/>
      <c r="CX2" s="73"/>
      <c r="CY2" s="73"/>
      <c r="CZ2" s="73"/>
      <c r="DA2" s="73"/>
    </row>
    <row r="3" spans="1:105" ht="27.95" customHeight="1" x14ac:dyDescent="0.4">
      <c r="B3" s="61"/>
      <c r="C3" s="62"/>
      <c r="D3" s="86" t="s">
        <v>216</v>
      </c>
      <c r="E3" s="86"/>
      <c r="F3" s="86"/>
      <c r="G3" s="86"/>
      <c r="H3" s="86"/>
      <c r="I3" s="86"/>
      <c r="J3" s="86"/>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c r="CX3" s="45"/>
      <c r="CY3" s="45"/>
      <c r="CZ3" s="45"/>
      <c r="DA3" s="45"/>
    </row>
    <row r="4" spans="1:105" ht="20.45" customHeight="1" x14ac:dyDescent="0.4">
      <c r="B4" s="65" t="s">
        <v>0</v>
      </c>
      <c r="C4" s="71" t="s">
        <v>1</v>
      </c>
      <c r="D4" s="54" t="s">
        <v>251</v>
      </c>
      <c r="E4" s="54" t="s">
        <v>206</v>
      </c>
      <c r="F4" s="54" t="s">
        <v>205</v>
      </c>
      <c r="G4" s="54" t="s">
        <v>207</v>
      </c>
      <c r="H4" s="54" t="s">
        <v>244</v>
      </c>
      <c r="I4" s="54" t="s">
        <v>208</v>
      </c>
      <c r="J4" s="54" t="s">
        <v>209</v>
      </c>
      <c r="K4" s="54" t="s">
        <v>210</v>
      </c>
      <c r="L4" s="54" t="s">
        <v>211</v>
      </c>
      <c r="M4" s="54" t="s">
        <v>243</v>
      </c>
      <c r="N4" s="54" t="s">
        <v>212</v>
      </c>
      <c r="O4" s="54" t="s">
        <v>213</v>
      </c>
      <c r="P4" s="54" t="s">
        <v>214</v>
      </c>
      <c r="Q4" s="54" t="s">
        <v>246</v>
      </c>
      <c r="R4" s="54" t="s">
        <v>218</v>
      </c>
      <c r="S4" s="54" t="s">
        <v>219</v>
      </c>
      <c r="T4" s="54" t="s">
        <v>220</v>
      </c>
      <c r="U4" s="54" t="s">
        <v>221</v>
      </c>
      <c r="V4" s="54" t="s">
        <v>222</v>
      </c>
      <c r="W4" s="54" t="s">
        <v>223</v>
      </c>
      <c r="X4" s="54" t="s">
        <v>224</v>
      </c>
      <c r="Y4" s="54" t="s">
        <v>225</v>
      </c>
      <c r="Z4" s="54" t="s">
        <v>247</v>
      </c>
      <c r="AA4" s="54" t="s">
        <v>227</v>
      </c>
      <c r="AB4" s="54" t="s">
        <v>228</v>
      </c>
      <c r="AC4" s="54" t="s">
        <v>229</v>
      </c>
      <c r="AD4" s="54"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343</v>
      </c>
      <c r="BS4" s="44" t="s">
        <v>347</v>
      </c>
      <c r="BT4" s="44" t="s">
        <v>351</v>
      </c>
      <c r="BU4" s="44" t="s">
        <v>353</v>
      </c>
      <c r="BV4" s="44" t="s">
        <v>355</v>
      </c>
      <c r="BW4" s="44" t="s">
        <v>358</v>
      </c>
      <c r="BX4" s="44" t="s">
        <v>360</v>
      </c>
      <c r="BY4" s="44" t="s">
        <v>362</v>
      </c>
      <c r="BZ4" s="44" t="s">
        <v>365</v>
      </c>
      <c r="CA4" s="44" t="s">
        <v>374</v>
      </c>
      <c r="CB4" s="44" t="s">
        <v>377</v>
      </c>
      <c r="CC4" s="44" t="s">
        <v>378</v>
      </c>
      <c r="CD4" s="44" t="s">
        <v>382</v>
      </c>
      <c r="CE4" s="44" t="s">
        <v>384</v>
      </c>
      <c r="CF4" s="44" t="s">
        <v>386</v>
      </c>
      <c r="CG4" s="44" t="s">
        <v>389</v>
      </c>
      <c r="CH4" s="44" t="s">
        <v>391</v>
      </c>
      <c r="CI4" s="44" t="s">
        <v>394</v>
      </c>
      <c r="CJ4" s="44" t="s">
        <v>395</v>
      </c>
      <c r="CK4" s="44" t="s">
        <v>398</v>
      </c>
      <c r="CL4" s="44" t="s">
        <v>400</v>
      </c>
      <c r="CM4" s="44" t="s">
        <v>402</v>
      </c>
      <c r="CN4" s="44" t="s">
        <v>404</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row>
    <row r="5" spans="1:105" ht="54" customHeight="1" x14ac:dyDescent="0.4">
      <c r="B5" s="66"/>
      <c r="C5" s="72"/>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6"/>
      <c r="BR5" s="46"/>
      <c r="BS5" s="46"/>
      <c r="BT5" s="46"/>
      <c r="BU5" s="46"/>
      <c r="BV5" s="46"/>
      <c r="BW5" s="46"/>
      <c r="BX5" s="46"/>
      <c r="BY5" s="46"/>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row>
    <row r="6" spans="1:105"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c r="CW6" s="28">
        <v>28</v>
      </c>
      <c r="CX6" s="28">
        <v>17</v>
      </c>
      <c r="CY6" s="28">
        <v>17</v>
      </c>
      <c r="CZ6" s="28">
        <v>16</v>
      </c>
      <c r="DA6" s="28">
        <v>15</v>
      </c>
    </row>
    <row r="7" spans="1:105"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c r="CY7" s="15">
        <v>0</v>
      </c>
      <c r="CZ7" s="15">
        <v>1</v>
      </c>
      <c r="DA7" s="15">
        <v>0</v>
      </c>
    </row>
    <row r="8" spans="1:105"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c r="CW8" s="28">
        <v>0</v>
      </c>
      <c r="CX8" s="28">
        <v>0</v>
      </c>
      <c r="CY8" s="28">
        <v>0</v>
      </c>
      <c r="CZ8" s="28">
        <v>0</v>
      </c>
      <c r="DA8" s="28">
        <v>0</v>
      </c>
    </row>
    <row r="9" spans="1:105"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c r="CY9" s="15">
        <v>15</v>
      </c>
      <c r="CZ9" s="15">
        <v>14</v>
      </c>
      <c r="DA9" s="28">
        <v>13</v>
      </c>
    </row>
    <row r="10" spans="1:105"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c r="CY10" s="15">
        <v>0</v>
      </c>
      <c r="CZ10" s="15">
        <v>0</v>
      </c>
      <c r="DA10" s="15">
        <v>0</v>
      </c>
    </row>
    <row r="11" spans="1:105"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c r="CY11" s="15">
        <v>3</v>
      </c>
      <c r="CZ11" s="15">
        <v>3</v>
      </c>
      <c r="DA11" s="28">
        <v>3</v>
      </c>
    </row>
    <row r="12" spans="1:105"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c r="CY12" s="15">
        <v>2</v>
      </c>
      <c r="CZ12" s="15">
        <v>1</v>
      </c>
      <c r="DA12" s="15">
        <v>0</v>
      </c>
    </row>
    <row r="13" spans="1:105"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c r="CY13" s="15">
        <v>8</v>
      </c>
      <c r="CZ13" s="15">
        <v>13</v>
      </c>
      <c r="DA13" s="15">
        <v>6</v>
      </c>
    </row>
    <row r="14" spans="1:105"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c r="CY14" s="15">
        <v>5</v>
      </c>
      <c r="CZ14" s="15">
        <v>1</v>
      </c>
      <c r="DA14" s="15">
        <v>4</v>
      </c>
    </row>
    <row r="15" spans="1:105"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c r="CY15" s="15">
        <v>1</v>
      </c>
      <c r="CZ15" s="15">
        <v>1</v>
      </c>
      <c r="DA15" s="15">
        <v>2</v>
      </c>
    </row>
    <row r="16" spans="1:105"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c r="CW16" s="28">
        <v>2</v>
      </c>
      <c r="CX16" s="28">
        <v>2</v>
      </c>
      <c r="CY16" s="28">
        <v>2</v>
      </c>
      <c r="CZ16" s="28">
        <v>1</v>
      </c>
      <c r="DA16" s="28">
        <v>0</v>
      </c>
    </row>
    <row r="17" spans="1:105"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c r="CY17" s="15">
        <v>40</v>
      </c>
      <c r="CZ17" s="15">
        <v>33</v>
      </c>
      <c r="DA17" s="15">
        <v>28</v>
      </c>
    </row>
    <row r="18" spans="1:105"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c r="CW18" s="34">
        <v>392</v>
      </c>
      <c r="CX18" s="34">
        <v>307</v>
      </c>
      <c r="CY18" s="34">
        <v>261</v>
      </c>
      <c r="CZ18" s="34">
        <v>230</v>
      </c>
      <c r="DA18" s="34">
        <v>257</v>
      </c>
    </row>
    <row r="19" spans="1:105" s="4" customFormat="1" ht="39.6" customHeight="1" x14ac:dyDescent="0.4">
      <c r="A19" s="3"/>
      <c r="B19" s="77"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c r="CY19" s="15">
        <v>29</v>
      </c>
      <c r="CZ19" s="15">
        <v>28</v>
      </c>
      <c r="DA19" s="15">
        <v>33</v>
      </c>
    </row>
    <row r="20" spans="1:105" s="4" customFormat="1" ht="39.6" customHeight="1" x14ac:dyDescent="0.4">
      <c r="A20" s="3"/>
      <c r="B20" s="81"/>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c r="CW20" s="28">
        <v>92</v>
      </c>
      <c r="CX20" s="28">
        <v>59</v>
      </c>
      <c r="CY20" s="28">
        <v>56</v>
      </c>
      <c r="CZ20" s="28">
        <v>65</v>
      </c>
      <c r="DA20" s="28">
        <v>46</v>
      </c>
    </row>
    <row r="21" spans="1:105" s="4" customFormat="1" ht="39.6" customHeight="1" x14ac:dyDescent="0.4">
      <c r="A21" s="3"/>
      <c r="B21" s="78"/>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c r="CY21" s="15">
        <v>10</v>
      </c>
      <c r="CZ21" s="15">
        <v>11</v>
      </c>
      <c r="DA21" s="15">
        <v>12</v>
      </c>
    </row>
    <row r="22" spans="1:105"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c r="CY22" s="15">
        <v>0</v>
      </c>
      <c r="CZ22" s="15">
        <v>3</v>
      </c>
      <c r="DA22" s="15">
        <v>0</v>
      </c>
    </row>
    <row r="23" spans="1:105"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c r="CY23" s="15">
        <v>0</v>
      </c>
      <c r="CZ23" s="15">
        <v>0</v>
      </c>
      <c r="DA23" s="15">
        <v>0</v>
      </c>
    </row>
    <row r="24" spans="1:105"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c r="CY24" s="15">
        <v>1</v>
      </c>
      <c r="CZ24" s="15">
        <v>0</v>
      </c>
      <c r="DA24" s="15">
        <v>2</v>
      </c>
    </row>
    <row r="25" spans="1:105"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c r="CY25" s="15">
        <v>0</v>
      </c>
      <c r="CZ25" s="15">
        <v>0</v>
      </c>
      <c r="DA25" s="15">
        <v>0</v>
      </c>
    </row>
    <row r="26" spans="1:105"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c r="CY26" s="15">
        <v>4</v>
      </c>
      <c r="CZ26" s="15">
        <v>8</v>
      </c>
      <c r="DA26" s="15">
        <v>2</v>
      </c>
    </row>
    <row r="27" spans="1:105"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c r="CY27" s="15">
        <v>0</v>
      </c>
      <c r="CZ27" s="15">
        <v>0</v>
      </c>
      <c r="DA27" s="15">
        <v>0</v>
      </c>
    </row>
    <row r="28" spans="1:105"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c r="CY28" s="15">
        <v>0</v>
      </c>
      <c r="CZ28" s="15">
        <v>1</v>
      </c>
      <c r="DA28" s="15">
        <v>0</v>
      </c>
    </row>
    <row r="29" spans="1:105" ht="39.6" customHeight="1" x14ac:dyDescent="0.4">
      <c r="B29" s="82"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c r="CY29" s="15">
        <v>1</v>
      </c>
      <c r="CZ29" s="15">
        <v>0</v>
      </c>
      <c r="DA29" s="15">
        <v>0</v>
      </c>
    </row>
    <row r="30" spans="1:105" ht="39.6" customHeight="1" x14ac:dyDescent="0.4">
      <c r="B30" s="83"/>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c r="CY30" s="15">
        <v>7</v>
      </c>
      <c r="CZ30" s="15">
        <v>14</v>
      </c>
      <c r="DA30" s="15">
        <v>12</v>
      </c>
    </row>
    <row r="31" spans="1:105"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c r="CY31" s="15">
        <v>17</v>
      </c>
      <c r="CZ31" s="15">
        <v>21</v>
      </c>
      <c r="DA31" s="15">
        <v>15</v>
      </c>
    </row>
    <row r="32" spans="1:105"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c r="CY32" s="15">
        <v>0</v>
      </c>
      <c r="CZ32" s="15">
        <v>0</v>
      </c>
      <c r="DA32" s="15">
        <v>0</v>
      </c>
    </row>
    <row r="33" spans="1:105"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c r="CY33" s="15">
        <v>0</v>
      </c>
      <c r="CZ33" s="15">
        <v>0</v>
      </c>
      <c r="DA33" s="15">
        <v>0</v>
      </c>
    </row>
    <row r="34" spans="1:105"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c r="CY34" s="15">
        <v>10</v>
      </c>
      <c r="CZ34" s="15">
        <v>19</v>
      </c>
      <c r="DA34" s="15">
        <v>16</v>
      </c>
    </row>
    <row r="35" spans="1:105" s="4" customFormat="1" ht="39.6" customHeight="1" x14ac:dyDescent="0.4">
      <c r="A35" s="3"/>
      <c r="B35" s="77"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c r="CY35" s="15">
        <v>57</v>
      </c>
      <c r="CZ35" s="15">
        <v>69</v>
      </c>
      <c r="DA35" s="15">
        <v>51</v>
      </c>
    </row>
    <row r="36" spans="1:105" s="4" customFormat="1" ht="39.6" customHeight="1" x14ac:dyDescent="0.4">
      <c r="B36" s="78"/>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c r="CW36" s="28">
        <v>13</v>
      </c>
      <c r="CX36" s="28">
        <v>11</v>
      </c>
      <c r="CY36" s="28">
        <v>4</v>
      </c>
      <c r="CZ36" s="28">
        <v>21</v>
      </c>
      <c r="DA36" s="28">
        <v>12</v>
      </c>
    </row>
    <row r="37" spans="1:105"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c r="CY37" s="15">
        <v>14</v>
      </c>
      <c r="CZ37" s="15">
        <v>15</v>
      </c>
      <c r="DA37" s="15">
        <v>10</v>
      </c>
    </row>
    <row r="38" spans="1:105"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c r="CY38" s="15">
        <v>2</v>
      </c>
      <c r="CZ38" s="15">
        <v>2</v>
      </c>
      <c r="DA38" s="15">
        <v>2</v>
      </c>
    </row>
    <row r="39" spans="1:105"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c r="CY39" s="15">
        <v>5</v>
      </c>
      <c r="CZ39" s="15">
        <v>0</v>
      </c>
      <c r="DA39" s="15">
        <v>2</v>
      </c>
    </row>
    <row r="40" spans="1:105"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c r="CY40" s="15">
        <v>0</v>
      </c>
      <c r="CZ40" s="15">
        <v>0</v>
      </c>
      <c r="DA40" s="15">
        <v>1</v>
      </c>
    </row>
    <row r="41" spans="1:105"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c r="CY41" s="15">
        <v>0</v>
      </c>
      <c r="CZ41" s="15">
        <v>0</v>
      </c>
      <c r="DA41" s="15">
        <v>0</v>
      </c>
    </row>
    <row r="42" spans="1:105"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c r="CY42" s="15">
        <v>2</v>
      </c>
      <c r="CZ42" s="15">
        <v>7</v>
      </c>
      <c r="DA42" s="15">
        <v>8</v>
      </c>
    </row>
    <row r="43" spans="1:105"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c r="CW43" s="28">
        <v>49</v>
      </c>
      <c r="CX43" s="28">
        <v>36</v>
      </c>
      <c r="CY43" s="28">
        <v>32</v>
      </c>
      <c r="CZ43" s="28">
        <v>20</v>
      </c>
      <c r="DA43" s="28">
        <v>16</v>
      </c>
    </row>
    <row r="44" spans="1:105"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c r="CY44" s="15">
        <v>1</v>
      </c>
      <c r="CZ44" s="15">
        <v>0</v>
      </c>
      <c r="DA44" s="15">
        <v>1</v>
      </c>
    </row>
    <row r="45" spans="1:105"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c r="CY45" s="15">
        <v>5</v>
      </c>
      <c r="CZ45" s="15">
        <v>7</v>
      </c>
      <c r="DA45" s="15">
        <v>10</v>
      </c>
    </row>
    <row r="46" spans="1:105"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c r="CY46" s="15">
        <v>5</v>
      </c>
      <c r="CZ46" s="15">
        <v>6</v>
      </c>
      <c r="DA46" s="15">
        <v>9</v>
      </c>
    </row>
    <row r="47" spans="1:105"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c r="CY47" s="15">
        <v>0</v>
      </c>
      <c r="CZ47" s="15">
        <v>0</v>
      </c>
      <c r="DA47" s="15">
        <v>0</v>
      </c>
    </row>
    <row r="48" spans="1:105"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c r="CY48" s="15">
        <v>10</v>
      </c>
      <c r="CZ48" s="15">
        <v>10</v>
      </c>
      <c r="DA48" s="15">
        <v>7</v>
      </c>
    </row>
    <row r="49" spans="1:105" s="4" customFormat="1" ht="39.6" customHeight="1" x14ac:dyDescent="0.4">
      <c r="A49" s="3"/>
      <c r="B49" s="77"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c r="CY49" s="15">
        <v>0</v>
      </c>
      <c r="CZ49" s="15">
        <v>0</v>
      </c>
      <c r="DA49" s="15">
        <v>0</v>
      </c>
    </row>
    <row r="50" spans="1:105" s="4" customFormat="1" ht="39.6" customHeight="1" x14ac:dyDescent="0.4">
      <c r="B50" s="78"/>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c r="CY50" s="15">
        <v>8</v>
      </c>
      <c r="CZ50" s="15">
        <v>3</v>
      </c>
      <c r="DA50" s="15">
        <v>8</v>
      </c>
    </row>
    <row r="51" spans="1:105"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c r="CY51" s="15">
        <v>0</v>
      </c>
      <c r="CZ51" s="15">
        <v>0</v>
      </c>
      <c r="DA51" s="15">
        <v>0</v>
      </c>
    </row>
    <row r="52" spans="1:105"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c r="CY52" s="15">
        <v>2</v>
      </c>
      <c r="CZ52" s="15">
        <v>6</v>
      </c>
      <c r="DA52" s="15">
        <v>8</v>
      </c>
    </row>
    <row r="53" spans="1:105"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c r="CY53" s="15">
        <v>5</v>
      </c>
      <c r="CZ53" s="15">
        <v>17</v>
      </c>
      <c r="DA53" s="15">
        <v>14</v>
      </c>
    </row>
    <row r="54" spans="1:105"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c r="CY54" s="15">
        <v>2</v>
      </c>
      <c r="CZ54" s="15">
        <v>0</v>
      </c>
      <c r="DA54" s="15">
        <v>4</v>
      </c>
    </row>
    <row r="55" spans="1:105"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c r="CY55" s="15">
        <v>1</v>
      </c>
      <c r="CZ55" s="15">
        <v>0</v>
      </c>
      <c r="DA55" s="15">
        <v>3</v>
      </c>
    </row>
    <row r="56" spans="1:105"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c r="CY56" s="15">
        <v>0</v>
      </c>
      <c r="CZ56" s="15">
        <v>0</v>
      </c>
      <c r="DA56" s="15">
        <v>0</v>
      </c>
    </row>
    <row r="57" spans="1:105"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c r="CY57" s="15">
        <v>0</v>
      </c>
      <c r="CZ57" s="15">
        <v>0</v>
      </c>
      <c r="DA57" s="15">
        <v>0</v>
      </c>
    </row>
    <row r="58" spans="1:105"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DA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c r="CY58" s="14">
        <f t="shared" ref="CY58" si="9">SUM(CY6:CY57)</f>
        <v>644</v>
      </c>
      <c r="CZ58" s="14">
        <f t="shared" si="8"/>
        <v>667</v>
      </c>
      <c r="DA58" s="14">
        <f t="shared" si="8"/>
        <v>632</v>
      </c>
    </row>
    <row r="59" spans="1:105"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5"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5"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5">
    <mergeCell ref="DA4:DA5"/>
    <mergeCell ref="BD2:DA2"/>
    <mergeCell ref="CR3:DA3"/>
    <mergeCell ref="B19:B21"/>
    <mergeCell ref="CX4:CX5"/>
    <mergeCell ref="CW4:CW5"/>
    <mergeCell ref="CV4:CV5"/>
    <mergeCell ref="CU4:CU5"/>
    <mergeCell ref="B2:C3"/>
    <mergeCell ref="D4:D5"/>
    <mergeCell ref="F4:F5"/>
    <mergeCell ref="D2:BC2"/>
    <mergeCell ref="I4:I5"/>
    <mergeCell ref="H4:H5"/>
    <mergeCell ref="E4:E5"/>
    <mergeCell ref="D3:AQ3"/>
    <mergeCell ref="AX4:AX5"/>
    <mergeCell ref="AC4:AC5"/>
    <mergeCell ref="AF4:AF5"/>
    <mergeCell ref="AR4:AR5"/>
    <mergeCell ref="AR3:BC3"/>
    <mergeCell ref="BC4:BC5"/>
    <mergeCell ref="BA4:BA5"/>
    <mergeCell ref="AS4:AS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B29:B30"/>
    <mergeCell ref="G4:G5"/>
    <mergeCell ref="V4:V5"/>
    <mergeCell ref="N4:N5"/>
    <mergeCell ref="X4:X5"/>
    <mergeCell ref="BV4:BV5"/>
    <mergeCell ref="BT4:BT5"/>
    <mergeCell ref="AE4:AE5"/>
    <mergeCell ref="W4:W5"/>
    <mergeCell ref="AU4:AU5"/>
    <mergeCell ref="AK4:AK5"/>
    <mergeCell ref="AD4:AD5"/>
    <mergeCell ref="Y4:Y5"/>
    <mergeCell ref="Z4:Z5"/>
    <mergeCell ref="AA4:AA5"/>
    <mergeCell ref="BD4:BD5"/>
    <mergeCell ref="AG4:AG5"/>
    <mergeCell ref="AT4:AT5"/>
    <mergeCell ref="BB4:BB5"/>
    <mergeCell ref="AZ4:AZ5"/>
    <mergeCell ref="AY4:AY5"/>
    <mergeCell ref="AV4:AV5"/>
    <mergeCell ref="AP4:AP5"/>
    <mergeCell ref="AO4:AO5"/>
    <mergeCell ref="AH4:AH5"/>
    <mergeCell ref="AJ4:AJ5"/>
    <mergeCell ref="AI4:AI5"/>
    <mergeCell ref="BF4:BF5"/>
    <mergeCell ref="BN4:BN5"/>
    <mergeCell ref="CQ4:CQ5"/>
    <mergeCell ref="CP4:CP5"/>
    <mergeCell ref="CG4:CG5"/>
    <mergeCell ref="CF4:CF5"/>
    <mergeCell ref="CA4:CA5"/>
    <mergeCell ref="CO4:CO5"/>
    <mergeCell ref="BW4:BW5"/>
    <mergeCell ref="CN4:CN5"/>
    <mergeCell ref="CM4:CM5"/>
    <mergeCell ref="CL4:CL5"/>
    <mergeCell ref="CK4:CK5"/>
    <mergeCell ref="CJ4:CJ5"/>
    <mergeCell ref="CI4:CI5"/>
    <mergeCell ref="CH4:CH5"/>
    <mergeCell ref="CD4:CD5"/>
    <mergeCell ref="BM4:BM5"/>
    <mergeCell ref="BR4:BR5"/>
    <mergeCell ref="BG4:BG5"/>
    <mergeCell ref="BZ4:BZ5"/>
    <mergeCell ref="BY4:BY5"/>
    <mergeCell ref="BL4:BL5"/>
    <mergeCell ref="BU4:BU5"/>
    <mergeCell ref="CY4:CY5"/>
    <mergeCell ref="CZ4:CZ5"/>
    <mergeCell ref="BD3:CQ3"/>
    <mergeCell ref="AN4:AN5"/>
    <mergeCell ref="AM4:AM5"/>
    <mergeCell ref="AQ4:AQ5"/>
    <mergeCell ref="AL4:AL5"/>
    <mergeCell ref="CT4:CT5"/>
    <mergeCell ref="CS4:CS5"/>
    <mergeCell ref="CC4:CC5"/>
    <mergeCell ref="BH4:BH5"/>
    <mergeCell ref="BX4:BX5"/>
    <mergeCell ref="CE4:CE5"/>
    <mergeCell ref="BE4:BE5"/>
    <mergeCell ref="BS4:BS5"/>
    <mergeCell ref="BI4:BI5"/>
    <mergeCell ref="BK4:BK5"/>
    <mergeCell ref="BJ4:BJ5"/>
    <mergeCell ref="BQ4:BQ5"/>
    <mergeCell ref="BP4:BP5"/>
    <mergeCell ref="BO4:BO5"/>
    <mergeCell ref="CB4:CB5"/>
    <mergeCell ref="AW4:AW5"/>
    <mergeCell ref="CR4:CR5"/>
  </mergeCells>
  <phoneticPr fontId="2"/>
  <conditionalFormatting sqref="CH6:CX57 CZ6:CZ57 DA10">
    <cfRule type="containsBlanks" dxfId="6" priority="4">
      <formula>LEN(TRIM(CH6))=0</formula>
    </cfRule>
  </conditionalFormatting>
  <conditionalFormatting sqref="CY6:CY57">
    <cfRule type="containsBlanks" dxfId="5" priority="2">
      <formula>LEN(TRIM(CY6))=0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3" manualBreakCount="3">
    <brk id="55" max="66" man="1"/>
    <brk id="95" max="66" man="1"/>
    <brk id="10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5" id="{5602503B-0E77-43D2-A987-5DC3B78222DE}">
            <xm:f>LEN(TRIM('搬送困難事案（今回）'!BP6))=0</xm:f>
            <x14:dxf>
              <fill>
                <patternFill>
                  <bgColor rgb="FFFFFF00"/>
                </patternFill>
              </fill>
            </x14:dxf>
          </x14:cfRule>
          <xm:sqref>BP6:CX57 DA6:DA9 DA11:DA57</xm:sqref>
        </x14:conditionalFormatting>
        <x14:conditionalFormatting xmlns:xm="http://schemas.microsoft.com/office/excel/2006/main">
          <x14:cfRule type="containsBlanks" priority="15" id="{5602503B-0E77-43D2-A987-5DC3B78222DE}">
            <xm:f>LEN(TRIM('搬送困難事案（今回）'!CX6))=0</xm:f>
            <x14:dxf>
              <fill>
                <patternFill>
                  <bgColor rgb="FFFFFF00"/>
                </patternFill>
              </fill>
            </x14:dxf>
          </x14:cfRule>
          <xm:sqref>CY6:CZ57 DA10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F61"/>
  <sheetViews>
    <sheetView view="pageBreakPreview" zoomScale="55" zoomScaleNormal="40" zoomScaleSheetLayoutView="55" workbookViewId="0">
      <pane xSplit="3" ySplit="5" topLeftCell="CM6" activePane="bottomRight" state="frozen"/>
      <selection pane="topRight" activeCell="D1" sqref="D1"/>
      <selection pane="bottomLeft" activeCell="A5" sqref="A5"/>
      <selection pane="bottomRight" activeCell="CU10" sqref="CU10"/>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10" width="10.875" style="1" customWidth="1"/>
    <col min="111" max="16384" width="8.625" style="1"/>
  </cols>
  <sheetData>
    <row r="1" spans="1:110"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t="s">
        <v>290</v>
      </c>
      <c r="DB1" s="19"/>
    </row>
    <row r="2" spans="1:110" ht="33" x14ac:dyDescent="0.4">
      <c r="B2" s="59"/>
      <c r="C2" s="60"/>
      <c r="D2" s="58" t="s">
        <v>242</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4"/>
      <c r="BD2" s="73" t="s">
        <v>325</v>
      </c>
      <c r="BE2" s="73"/>
      <c r="BF2" s="73"/>
      <c r="BG2" s="73"/>
      <c r="BH2" s="73"/>
      <c r="BI2" s="73"/>
      <c r="BJ2" s="73"/>
      <c r="BK2" s="73"/>
      <c r="BL2" s="73"/>
      <c r="BM2" s="73"/>
      <c r="BN2" s="73"/>
      <c r="BO2" s="73"/>
      <c r="BP2" s="73"/>
      <c r="BQ2" s="73"/>
      <c r="BR2" s="73"/>
      <c r="BS2" s="73"/>
      <c r="BT2" s="73"/>
      <c r="BU2" s="73"/>
      <c r="BV2" s="73"/>
      <c r="BW2" s="73"/>
      <c r="BX2" s="73"/>
      <c r="BY2" s="73"/>
      <c r="BZ2" s="73"/>
      <c r="CA2" s="73"/>
      <c r="CB2" s="73"/>
      <c r="CC2" s="73"/>
      <c r="CD2" s="73"/>
      <c r="CE2" s="73"/>
      <c r="CF2" s="73"/>
      <c r="CG2" s="73"/>
      <c r="CH2" s="73"/>
      <c r="CI2" s="73"/>
      <c r="CJ2" s="73"/>
      <c r="CK2" s="73"/>
      <c r="CL2" s="73"/>
      <c r="CM2" s="73"/>
      <c r="CN2" s="73"/>
      <c r="CO2" s="73"/>
      <c r="CP2" s="73"/>
      <c r="CQ2" s="73"/>
      <c r="CR2" s="73"/>
      <c r="CS2" s="73"/>
      <c r="CT2" s="73"/>
      <c r="CU2" s="73"/>
      <c r="CV2" s="73"/>
      <c r="CW2" s="73"/>
      <c r="CX2" s="73"/>
      <c r="CY2" s="73"/>
      <c r="CZ2" s="73"/>
      <c r="DA2" s="73"/>
      <c r="DB2" s="20"/>
      <c r="DC2" s="20"/>
      <c r="DD2" s="20"/>
      <c r="DE2" s="20"/>
      <c r="DF2" s="20"/>
    </row>
    <row r="3" spans="1:110" ht="27.95" customHeight="1" x14ac:dyDescent="0.4">
      <c r="B3" s="61"/>
      <c r="C3" s="62"/>
      <c r="D3" s="86" t="s">
        <v>216</v>
      </c>
      <c r="E3" s="86"/>
      <c r="F3" s="86"/>
      <c r="G3" s="86"/>
      <c r="H3" s="86"/>
      <c r="I3" s="86"/>
      <c r="J3" s="86"/>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c r="CX3" s="45"/>
      <c r="CY3" s="45"/>
      <c r="CZ3" s="45"/>
      <c r="DA3" s="45"/>
      <c r="DB3" s="21"/>
      <c r="DC3" s="21"/>
      <c r="DD3" s="21"/>
      <c r="DE3" s="21"/>
      <c r="DF3" s="21"/>
    </row>
    <row r="4" spans="1:110" ht="20.45" customHeight="1" x14ac:dyDescent="0.4">
      <c r="B4" s="65" t="s">
        <v>0</v>
      </c>
      <c r="C4" s="71" t="s">
        <v>1</v>
      </c>
      <c r="D4" s="54" t="s">
        <v>251</v>
      </c>
      <c r="E4" s="54" t="s">
        <v>206</v>
      </c>
      <c r="F4" s="54" t="s">
        <v>205</v>
      </c>
      <c r="G4" s="54" t="s">
        <v>207</v>
      </c>
      <c r="H4" s="54" t="s">
        <v>244</v>
      </c>
      <c r="I4" s="54" t="s">
        <v>208</v>
      </c>
      <c r="J4" s="54" t="s">
        <v>209</v>
      </c>
      <c r="K4" s="54" t="s">
        <v>210</v>
      </c>
      <c r="L4" s="54" t="s">
        <v>211</v>
      </c>
      <c r="M4" s="54" t="s">
        <v>243</v>
      </c>
      <c r="N4" s="54" t="s">
        <v>212</v>
      </c>
      <c r="O4" s="54" t="s">
        <v>213</v>
      </c>
      <c r="P4" s="54" t="s">
        <v>214</v>
      </c>
      <c r="Q4" s="54" t="s">
        <v>246</v>
      </c>
      <c r="R4" s="54" t="s">
        <v>218</v>
      </c>
      <c r="S4" s="54" t="s">
        <v>219</v>
      </c>
      <c r="T4" s="54" t="s">
        <v>220</v>
      </c>
      <c r="U4" s="54" t="s">
        <v>221</v>
      </c>
      <c r="V4" s="54" t="s">
        <v>222</v>
      </c>
      <c r="W4" s="54" t="s">
        <v>223</v>
      </c>
      <c r="X4" s="54" t="s">
        <v>224</v>
      </c>
      <c r="Y4" s="54" t="s">
        <v>225</v>
      </c>
      <c r="Z4" s="54" t="s">
        <v>247</v>
      </c>
      <c r="AA4" s="54" t="s">
        <v>227</v>
      </c>
      <c r="AB4" s="54" t="s">
        <v>228</v>
      </c>
      <c r="AC4" s="54" t="s">
        <v>229</v>
      </c>
      <c r="AD4" s="54"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344</v>
      </c>
      <c r="BS4" s="44" t="s">
        <v>348</v>
      </c>
      <c r="BT4" s="44" t="s">
        <v>351</v>
      </c>
      <c r="BU4" s="44" t="s">
        <v>353</v>
      </c>
      <c r="BV4" s="44" t="s">
        <v>356</v>
      </c>
      <c r="BW4" s="44" t="s">
        <v>358</v>
      </c>
      <c r="BX4" s="44" t="s">
        <v>360</v>
      </c>
      <c r="BY4" s="44" t="s">
        <v>362</v>
      </c>
      <c r="BZ4" s="44" t="s">
        <v>365</v>
      </c>
      <c r="CA4" s="44" t="s">
        <v>374</v>
      </c>
      <c r="CB4" s="44" t="s">
        <v>377</v>
      </c>
      <c r="CC4" s="44" t="s">
        <v>378</v>
      </c>
      <c r="CD4" s="44" t="s">
        <v>381</v>
      </c>
      <c r="CE4" s="44" t="s">
        <v>384</v>
      </c>
      <c r="CF4" s="44" t="s">
        <v>386</v>
      </c>
      <c r="CG4" s="44" t="s">
        <v>389</v>
      </c>
      <c r="CH4" s="44" t="s">
        <v>391</v>
      </c>
      <c r="CI4" s="44" t="s">
        <v>394</v>
      </c>
      <c r="CJ4" s="44" t="s">
        <v>395</v>
      </c>
      <c r="CK4" s="44" t="s">
        <v>398</v>
      </c>
      <c r="CL4" s="44" t="s">
        <v>400</v>
      </c>
      <c r="CM4" s="44" t="s">
        <v>402</v>
      </c>
      <c r="CN4" s="44" t="s">
        <v>405</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87"/>
      <c r="DC4" s="87"/>
      <c r="DD4" s="87"/>
      <c r="DE4" s="87"/>
      <c r="DF4" s="87"/>
    </row>
    <row r="5" spans="1:110" ht="54" customHeight="1" x14ac:dyDescent="0.4">
      <c r="B5" s="66"/>
      <c r="C5" s="72"/>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4"/>
      <c r="BR5" s="44"/>
      <c r="BS5" s="44"/>
      <c r="BT5" s="44"/>
      <c r="BU5" s="44"/>
      <c r="BV5" s="44"/>
      <c r="BW5" s="44"/>
      <c r="BX5" s="44"/>
      <c r="BY5" s="44"/>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87"/>
      <c r="DC5" s="87"/>
      <c r="DD5" s="87"/>
      <c r="DE5" s="87"/>
      <c r="DF5" s="87"/>
    </row>
    <row r="6" spans="1:110"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8">
        <v>113</v>
      </c>
      <c r="CX6" s="28">
        <v>108</v>
      </c>
      <c r="CY6" s="28">
        <v>95</v>
      </c>
      <c r="CZ6" s="28">
        <v>86</v>
      </c>
      <c r="DA6" s="28">
        <v>91</v>
      </c>
      <c r="DB6" s="22"/>
      <c r="DC6" s="22"/>
      <c r="DD6" s="22"/>
      <c r="DE6" s="22"/>
      <c r="DF6" s="22"/>
    </row>
    <row r="7" spans="1:110"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15">
        <v>1</v>
      </c>
      <c r="CZ7" s="15">
        <v>0</v>
      </c>
      <c r="DA7" s="15">
        <v>0</v>
      </c>
      <c r="DB7" s="23"/>
      <c r="DC7" s="23"/>
      <c r="DD7" s="23"/>
      <c r="DE7" s="23"/>
      <c r="DF7" s="23"/>
    </row>
    <row r="8" spans="1:110"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8">
        <v>26</v>
      </c>
      <c r="CX8" s="28">
        <v>20</v>
      </c>
      <c r="CY8" s="28">
        <v>27</v>
      </c>
      <c r="CZ8" s="28">
        <v>20</v>
      </c>
      <c r="DA8" s="28">
        <v>20</v>
      </c>
      <c r="DB8" s="23"/>
      <c r="DC8" s="23"/>
      <c r="DD8" s="23"/>
      <c r="DE8" s="23"/>
      <c r="DF8" s="23"/>
    </row>
    <row r="9" spans="1:110"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15">
        <v>96</v>
      </c>
      <c r="CZ9" s="15">
        <v>72</v>
      </c>
      <c r="DA9" s="28">
        <v>70</v>
      </c>
      <c r="DB9" s="23"/>
      <c r="DC9" s="23"/>
      <c r="DD9" s="23"/>
      <c r="DE9" s="23"/>
      <c r="DF9" s="23"/>
    </row>
    <row r="10" spans="1:110"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15">
        <v>1</v>
      </c>
      <c r="CZ10" s="15">
        <v>0</v>
      </c>
      <c r="DA10" s="15">
        <v>0</v>
      </c>
      <c r="DB10" s="23"/>
      <c r="DC10" s="23"/>
      <c r="DD10" s="23"/>
      <c r="DE10" s="23"/>
      <c r="DF10" s="23"/>
    </row>
    <row r="11" spans="1:110"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15">
        <v>11</v>
      </c>
      <c r="CZ11" s="15">
        <v>8</v>
      </c>
      <c r="DA11" s="28">
        <v>4</v>
      </c>
      <c r="DB11" s="23"/>
      <c r="DC11" s="23"/>
      <c r="DD11" s="23"/>
      <c r="DE11" s="23"/>
      <c r="DF11" s="23"/>
    </row>
    <row r="12" spans="1:110"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15">
        <v>6</v>
      </c>
      <c r="CZ12" s="15">
        <v>6</v>
      </c>
      <c r="DA12" s="15">
        <v>10</v>
      </c>
      <c r="DB12" s="23"/>
      <c r="DC12" s="23"/>
      <c r="DD12" s="23"/>
      <c r="DE12" s="23"/>
      <c r="DF12" s="23"/>
    </row>
    <row r="13" spans="1:110"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15">
        <v>16</v>
      </c>
      <c r="CZ13" s="15">
        <v>16</v>
      </c>
      <c r="DA13" s="15">
        <v>13</v>
      </c>
      <c r="DB13" s="22"/>
      <c r="DC13" s="22"/>
      <c r="DD13" s="22"/>
      <c r="DE13" s="22"/>
      <c r="DF13" s="22"/>
    </row>
    <row r="14" spans="1:110"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15">
        <v>8</v>
      </c>
      <c r="CZ14" s="15">
        <v>13</v>
      </c>
      <c r="DA14" s="15">
        <v>10</v>
      </c>
      <c r="DB14" s="23"/>
      <c r="DC14" s="23"/>
      <c r="DD14" s="23"/>
      <c r="DE14" s="23"/>
      <c r="DF14" s="23"/>
    </row>
    <row r="15" spans="1:110"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15">
        <v>0</v>
      </c>
      <c r="CZ15" s="15">
        <v>1</v>
      </c>
      <c r="DA15" s="15">
        <v>4</v>
      </c>
      <c r="DB15" s="23"/>
      <c r="DC15" s="23"/>
      <c r="DD15" s="23"/>
      <c r="DE15" s="23"/>
      <c r="DF15" s="23"/>
    </row>
    <row r="16" spans="1:110"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8">
        <v>166</v>
      </c>
      <c r="CX16" s="28">
        <v>119</v>
      </c>
      <c r="CY16" s="28">
        <v>123</v>
      </c>
      <c r="CZ16" s="28">
        <v>100</v>
      </c>
      <c r="DA16" s="28">
        <v>136</v>
      </c>
      <c r="DB16" s="22"/>
      <c r="DC16" s="22"/>
      <c r="DD16" s="22"/>
      <c r="DE16" s="22"/>
      <c r="DF16" s="22"/>
    </row>
    <row r="17" spans="1:110"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15">
        <v>128</v>
      </c>
      <c r="CZ17" s="15">
        <v>115</v>
      </c>
      <c r="DA17" s="15">
        <v>130</v>
      </c>
      <c r="DB17" s="22"/>
      <c r="DC17" s="22"/>
      <c r="DD17" s="22"/>
      <c r="DE17" s="22"/>
      <c r="DF17" s="22"/>
    </row>
    <row r="18" spans="1:110"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34">
        <v>1828</v>
      </c>
      <c r="CX18" s="34">
        <v>1705</v>
      </c>
      <c r="CY18" s="34">
        <v>1455</v>
      </c>
      <c r="CZ18" s="34">
        <v>1488</v>
      </c>
      <c r="DA18" s="34">
        <v>1476</v>
      </c>
      <c r="DB18" s="22"/>
      <c r="DC18" s="22"/>
      <c r="DD18" s="22"/>
      <c r="DE18" s="22"/>
      <c r="DF18" s="22"/>
    </row>
    <row r="19" spans="1:110" s="4" customFormat="1" ht="39.6" customHeight="1" x14ac:dyDescent="0.4">
      <c r="A19" s="3"/>
      <c r="B19" s="77"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15">
        <v>43</v>
      </c>
      <c r="CZ19" s="15">
        <v>34</v>
      </c>
      <c r="DA19" s="15">
        <v>35</v>
      </c>
      <c r="DB19" s="22"/>
      <c r="DC19" s="22"/>
      <c r="DD19" s="22"/>
      <c r="DE19" s="22"/>
      <c r="DF19" s="22"/>
    </row>
    <row r="20" spans="1:110" s="4" customFormat="1" ht="39.6" customHeight="1" x14ac:dyDescent="0.4">
      <c r="A20" s="3"/>
      <c r="B20" s="81"/>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8">
        <v>117</v>
      </c>
      <c r="CX20" s="28">
        <v>98</v>
      </c>
      <c r="CY20" s="28">
        <v>86</v>
      </c>
      <c r="CZ20" s="28">
        <v>87</v>
      </c>
      <c r="DA20" s="28">
        <v>68</v>
      </c>
      <c r="DB20" s="22"/>
      <c r="DC20" s="22"/>
      <c r="DD20" s="22"/>
      <c r="DE20" s="22"/>
      <c r="DF20" s="22"/>
    </row>
    <row r="21" spans="1:110" s="4" customFormat="1" ht="39.6" customHeight="1" x14ac:dyDescent="0.4">
      <c r="A21" s="3"/>
      <c r="B21" s="78"/>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15">
        <v>21</v>
      </c>
      <c r="CZ21" s="15">
        <v>22</v>
      </c>
      <c r="DA21" s="15">
        <v>20</v>
      </c>
      <c r="DB21" s="22"/>
      <c r="DC21" s="22"/>
      <c r="DD21" s="22"/>
      <c r="DE21" s="22"/>
      <c r="DF21" s="22"/>
    </row>
    <row r="22" spans="1:110"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15">
        <v>4</v>
      </c>
      <c r="CZ22" s="15">
        <v>6</v>
      </c>
      <c r="DA22" s="15">
        <v>1</v>
      </c>
      <c r="DB22" s="23"/>
      <c r="DC22" s="23"/>
      <c r="DD22" s="23"/>
      <c r="DE22" s="23"/>
      <c r="DF22" s="23"/>
    </row>
    <row r="23" spans="1:110"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15">
        <v>0</v>
      </c>
      <c r="CZ23" s="15">
        <v>2</v>
      </c>
      <c r="DA23" s="15">
        <v>0</v>
      </c>
      <c r="DB23" s="23"/>
      <c r="DC23" s="23"/>
      <c r="DD23" s="23"/>
      <c r="DE23" s="23"/>
      <c r="DF23" s="23"/>
    </row>
    <row r="24" spans="1:110"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15">
        <v>12</v>
      </c>
      <c r="CZ24" s="15">
        <v>9</v>
      </c>
      <c r="DA24" s="15">
        <v>3</v>
      </c>
      <c r="DB24" s="22"/>
      <c r="DC24" s="22"/>
      <c r="DD24" s="22"/>
      <c r="DE24" s="22"/>
      <c r="DF24" s="22"/>
    </row>
    <row r="25" spans="1:110"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15">
        <v>2</v>
      </c>
      <c r="CZ25" s="15">
        <v>0</v>
      </c>
      <c r="DA25" s="15">
        <v>0</v>
      </c>
      <c r="DB25" s="23"/>
      <c r="DC25" s="23"/>
      <c r="DD25" s="23"/>
      <c r="DE25" s="23"/>
      <c r="DF25" s="23"/>
    </row>
    <row r="26" spans="1:110"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15">
        <v>12</v>
      </c>
      <c r="CZ26" s="15">
        <v>7</v>
      </c>
      <c r="DA26" s="15">
        <v>11</v>
      </c>
      <c r="DB26" s="23"/>
      <c r="DC26" s="23"/>
      <c r="DD26" s="23"/>
      <c r="DE26" s="23"/>
      <c r="DF26" s="23"/>
    </row>
    <row r="27" spans="1:110"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15">
        <v>0</v>
      </c>
      <c r="CZ27" s="15">
        <v>0</v>
      </c>
      <c r="DA27" s="15">
        <v>0</v>
      </c>
      <c r="DB27" s="23"/>
      <c r="DC27" s="23"/>
      <c r="DD27" s="23"/>
      <c r="DE27" s="23"/>
      <c r="DF27" s="23"/>
    </row>
    <row r="28" spans="1:110"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15">
        <v>0</v>
      </c>
      <c r="CZ28" s="15">
        <v>0</v>
      </c>
      <c r="DA28" s="15">
        <v>1</v>
      </c>
      <c r="DB28" s="22"/>
      <c r="DC28" s="22"/>
      <c r="DD28" s="22"/>
      <c r="DE28" s="22"/>
      <c r="DF28" s="22"/>
    </row>
    <row r="29" spans="1:110" ht="39.6" customHeight="1" x14ac:dyDescent="0.4">
      <c r="B29" s="82"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15">
        <v>0</v>
      </c>
      <c r="CZ29" s="15">
        <v>1</v>
      </c>
      <c r="DA29" s="15">
        <v>0</v>
      </c>
      <c r="DB29" s="23"/>
      <c r="DC29" s="23"/>
      <c r="DD29" s="23"/>
      <c r="DE29" s="23"/>
      <c r="DF29" s="23"/>
    </row>
    <row r="30" spans="1:110" ht="39.6" customHeight="1" x14ac:dyDescent="0.4">
      <c r="B30" s="83"/>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15">
        <v>16</v>
      </c>
      <c r="CZ30" s="15">
        <v>10</v>
      </c>
      <c r="DA30" s="15">
        <v>12</v>
      </c>
      <c r="DB30" s="23"/>
      <c r="DC30" s="23"/>
      <c r="DD30" s="23"/>
      <c r="DE30" s="23"/>
      <c r="DF30" s="23"/>
    </row>
    <row r="31" spans="1:110"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15">
        <v>44</v>
      </c>
      <c r="CZ31" s="15">
        <v>53</v>
      </c>
      <c r="DA31" s="15">
        <v>42</v>
      </c>
      <c r="DB31" s="22"/>
      <c r="DC31" s="22"/>
      <c r="DD31" s="22"/>
      <c r="DE31" s="22"/>
      <c r="DF31" s="22"/>
    </row>
    <row r="32" spans="1:110"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15">
        <v>0</v>
      </c>
      <c r="CZ32" s="15">
        <v>4</v>
      </c>
      <c r="DA32" s="15">
        <v>0</v>
      </c>
      <c r="DB32" s="23"/>
      <c r="DC32" s="23"/>
      <c r="DD32" s="23"/>
      <c r="DE32" s="23"/>
      <c r="DF32" s="23"/>
    </row>
    <row r="33" spans="1:110"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15">
        <v>0</v>
      </c>
      <c r="CZ33" s="15">
        <v>0</v>
      </c>
      <c r="DA33" s="15">
        <v>0</v>
      </c>
      <c r="DB33" s="23"/>
      <c r="DC33" s="23"/>
      <c r="DD33" s="23"/>
      <c r="DE33" s="23"/>
      <c r="DF33" s="23"/>
    </row>
    <row r="34" spans="1:110"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15">
        <v>61</v>
      </c>
      <c r="CZ34" s="15">
        <v>73</v>
      </c>
      <c r="DA34" s="15">
        <v>67</v>
      </c>
      <c r="DB34" s="22"/>
      <c r="DC34" s="22"/>
      <c r="DD34" s="22"/>
      <c r="DE34" s="22"/>
      <c r="DF34" s="22"/>
    </row>
    <row r="35" spans="1:110" s="4" customFormat="1" ht="39.6" customHeight="1" x14ac:dyDescent="0.4">
      <c r="A35" s="3"/>
      <c r="B35" s="77"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15">
        <v>261</v>
      </c>
      <c r="CZ35" s="15">
        <v>273</v>
      </c>
      <c r="DA35" s="15">
        <v>223</v>
      </c>
      <c r="DB35" s="22"/>
      <c r="DC35" s="22"/>
      <c r="DD35" s="22"/>
      <c r="DE35" s="22"/>
      <c r="DF35" s="22"/>
    </row>
    <row r="36" spans="1:110" s="4" customFormat="1" ht="39.6" customHeight="1" x14ac:dyDescent="0.4">
      <c r="B36" s="78"/>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8">
        <v>20</v>
      </c>
      <c r="CX36" s="28">
        <v>26</v>
      </c>
      <c r="CY36" s="28">
        <v>32</v>
      </c>
      <c r="CZ36" s="28">
        <v>28</v>
      </c>
      <c r="DA36" s="28">
        <v>31</v>
      </c>
      <c r="DB36" s="22"/>
      <c r="DC36" s="22"/>
      <c r="DD36" s="22"/>
      <c r="DE36" s="22"/>
      <c r="DF36" s="22"/>
    </row>
    <row r="37" spans="1:110"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15">
        <v>37</v>
      </c>
      <c r="CZ37" s="15">
        <v>42</v>
      </c>
      <c r="DA37" s="15">
        <v>39</v>
      </c>
      <c r="DB37" s="22"/>
      <c r="DC37" s="22"/>
      <c r="DD37" s="22"/>
      <c r="DE37" s="22"/>
      <c r="DF37" s="22"/>
    </row>
    <row r="38" spans="1:110"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15">
        <v>6</v>
      </c>
      <c r="CZ38" s="15">
        <v>8</v>
      </c>
      <c r="DA38" s="15">
        <v>7</v>
      </c>
      <c r="DB38" s="23"/>
      <c r="DC38" s="23"/>
      <c r="DD38" s="23"/>
      <c r="DE38" s="23"/>
      <c r="DF38" s="23"/>
    </row>
    <row r="39" spans="1:110"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15">
        <v>9</v>
      </c>
      <c r="CZ39" s="15">
        <v>7</v>
      </c>
      <c r="DA39" s="15">
        <v>4</v>
      </c>
      <c r="DB39" s="23"/>
      <c r="DC39" s="23"/>
      <c r="DD39" s="23"/>
      <c r="DE39" s="23"/>
      <c r="DF39" s="23"/>
    </row>
    <row r="40" spans="1:110"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15">
        <v>0</v>
      </c>
      <c r="CZ40" s="15">
        <v>0</v>
      </c>
      <c r="DA40" s="15">
        <v>0</v>
      </c>
      <c r="DB40" s="23"/>
      <c r="DC40" s="23"/>
      <c r="DD40" s="23"/>
      <c r="DE40" s="23"/>
      <c r="DF40" s="23"/>
    </row>
    <row r="41" spans="1:110"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15">
        <v>0</v>
      </c>
      <c r="CZ41" s="15">
        <v>0</v>
      </c>
      <c r="DA41" s="15">
        <v>0</v>
      </c>
      <c r="DB41" s="23"/>
      <c r="DC41" s="23"/>
      <c r="DD41" s="23"/>
      <c r="DE41" s="23"/>
      <c r="DF41" s="23"/>
    </row>
    <row r="42" spans="1:110"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15">
        <v>5</v>
      </c>
      <c r="CZ42" s="15">
        <v>10</v>
      </c>
      <c r="DA42" s="15">
        <v>5</v>
      </c>
      <c r="DB42" s="23"/>
      <c r="DC42" s="23"/>
      <c r="DD42" s="23"/>
      <c r="DE42" s="23"/>
      <c r="DF42" s="23"/>
    </row>
    <row r="43" spans="1:110"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8">
        <v>34</v>
      </c>
      <c r="CX43" s="28">
        <v>42</v>
      </c>
      <c r="CY43" s="28">
        <v>34</v>
      </c>
      <c r="CZ43" s="28">
        <v>58</v>
      </c>
      <c r="DA43" s="28">
        <v>30</v>
      </c>
      <c r="DB43" s="23"/>
      <c r="DC43" s="23"/>
      <c r="DD43" s="23"/>
      <c r="DE43" s="23"/>
      <c r="DF43" s="23"/>
    </row>
    <row r="44" spans="1:110"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15">
        <v>0</v>
      </c>
      <c r="CZ44" s="15">
        <v>2</v>
      </c>
      <c r="DA44" s="15">
        <v>2</v>
      </c>
      <c r="DB44" s="23"/>
      <c r="DC44" s="23"/>
      <c r="DD44" s="23"/>
      <c r="DE44" s="23"/>
      <c r="DF44" s="23"/>
    </row>
    <row r="45" spans="1:110"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15">
        <v>25</v>
      </c>
      <c r="CZ45" s="15">
        <v>16</v>
      </c>
      <c r="DA45" s="15">
        <v>15</v>
      </c>
      <c r="DB45" s="22"/>
      <c r="DC45" s="22"/>
      <c r="DD45" s="22"/>
      <c r="DE45" s="22"/>
      <c r="DF45" s="22"/>
    </row>
    <row r="46" spans="1:110"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15">
        <v>12</v>
      </c>
      <c r="CZ46" s="15">
        <v>18</v>
      </c>
      <c r="DA46" s="15">
        <v>19</v>
      </c>
      <c r="DB46" s="23"/>
      <c r="DC46" s="23"/>
      <c r="DD46" s="23"/>
      <c r="DE46" s="23"/>
      <c r="DF46" s="23"/>
    </row>
    <row r="47" spans="1:110"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15">
        <v>0</v>
      </c>
      <c r="CZ47" s="15">
        <v>1</v>
      </c>
      <c r="DA47" s="15">
        <v>1</v>
      </c>
      <c r="DB47" s="23"/>
      <c r="DC47" s="23"/>
      <c r="DD47" s="23"/>
      <c r="DE47" s="23"/>
      <c r="DF47" s="23"/>
    </row>
    <row r="48" spans="1:110"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15">
        <v>6</v>
      </c>
      <c r="CZ48" s="15">
        <v>13</v>
      </c>
      <c r="DA48" s="15">
        <v>2</v>
      </c>
      <c r="DB48" s="23"/>
      <c r="DC48" s="23"/>
      <c r="DD48" s="23"/>
      <c r="DE48" s="23"/>
      <c r="DF48" s="23"/>
    </row>
    <row r="49" spans="1:110" s="4" customFormat="1" ht="39.6" customHeight="1" x14ac:dyDescent="0.4">
      <c r="A49" s="3"/>
      <c r="B49" s="77"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15">
        <v>46</v>
      </c>
      <c r="CZ49" s="15">
        <v>42</v>
      </c>
      <c r="DA49" s="15">
        <v>44</v>
      </c>
      <c r="DB49" s="22"/>
      <c r="DC49" s="22"/>
      <c r="DD49" s="22"/>
      <c r="DE49" s="22"/>
      <c r="DF49" s="22"/>
    </row>
    <row r="50" spans="1:110" s="4" customFormat="1" ht="39.6" customHeight="1" x14ac:dyDescent="0.4">
      <c r="B50" s="78"/>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15">
        <v>17</v>
      </c>
      <c r="CZ50" s="15">
        <v>9</v>
      </c>
      <c r="DA50" s="15">
        <v>8</v>
      </c>
      <c r="DB50" s="22"/>
      <c r="DC50" s="22"/>
      <c r="DD50" s="22"/>
      <c r="DE50" s="22"/>
      <c r="DF50" s="22"/>
    </row>
    <row r="51" spans="1:110"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15">
        <v>4</v>
      </c>
      <c r="CZ51" s="15">
        <v>6</v>
      </c>
      <c r="DA51" s="15">
        <v>8</v>
      </c>
      <c r="DB51" s="23"/>
      <c r="DC51" s="23"/>
      <c r="DD51" s="23"/>
      <c r="DE51" s="23"/>
      <c r="DF51" s="23"/>
    </row>
    <row r="52" spans="1:110"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15">
        <v>13</v>
      </c>
      <c r="CZ52" s="15">
        <v>15</v>
      </c>
      <c r="DA52" s="15">
        <v>22</v>
      </c>
      <c r="DB52" s="23"/>
      <c r="DC52" s="23"/>
      <c r="DD52" s="23"/>
      <c r="DE52" s="23"/>
      <c r="DF52" s="23"/>
    </row>
    <row r="53" spans="1:110"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15">
        <v>34</v>
      </c>
      <c r="CZ53" s="15">
        <v>44</v>
      </c>
      <c r="DA53" s="15">
        <v>42</v>
      </c>
      <c r="DB53" s="23"/>
      <c r="DC53" s="23"/>
      <c r="DD53" s="23"/>
      <c r="DE53" s="23"/>
      <c r="DF53" s="23"/>
    </row>
    <row r="54" spans="1:110"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15">
        <v>2</v>
      </c>
      <c r="CZ54" s="15">
        <v>2</v>
      </c>
      <c r="DA54" s="15">
        <v>5</v>
      </c>
      <c r="DB54" s="23"/>
      <c r="DC54" s="23"/>
      <c r="DD54" s="23"/>
      <c r="DE54" s="23"/>
      <c r="DF54" s="23"/>
    </row>
    <row r="55" spans="1:110"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15">
        <v>15</v>
      </c>
      <c r="CZ55" s="15">
        <v>14</v>
      </c>
      <c r="DA55" s="15">
        <v>16</v>
      </c>
      <c r="DB55" s="23"/>
      <c r="DC55" s="23"/>
      <c r="DD55" s="23"/>
      <c r="DE55" s="23"/>
      <c r="DF55" s="23"/>
    </row>
    <row r="56" spans="1:110"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15">
        <v>2</v>
      </c>
      <c r="CZ56" s="15">
        <v>1</v>
      </c>
      <c r="DA56" s="15">
        <v>1</v>
      </c>
      <c r="DB56" s="23"/>
      <c r="DC56" s="23"/>
      <c r="DD56" s="23"/>
      <c r="DE56" s="23"/>
      <c r="DF56" s="23"/>
    </row>
    <row r="57" spans="1:110"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15">
        <v>2</v>
      </c>
      <c r="CZ57" s="15">
        <v>1</v>
      </c>
      <c r="DA57" s="15">
        <v>5</v>
      </c>
      <c r="DB57" s="23"/>
      <c r="DC57" s="23"/>
      <c r="DD57" s="23"/>
      <c r="DE57" s="23"/>
      <c r="DF57" s="23"/>
    </row>
    <row r="58" spans="1:110"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DA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14">
        <f t="shared" ref="CY58" si="5">SUM(CY6:CY57)</f>
        <v>2830</v>
      </c>
      <c r="CZ58" s="14">
        <f t="shared" si="4"/>
        <v>2843</v>
      </c>
      <c r="DA58" s="14">
        <f t="shared" si="4"/>
        <v>2753</v>
      </c>
      <c r="DB58" s="24"/>
      <c r="DC58" s="24"/>
      <c r="DD58" s="24"/>
      <c r="DE58" s="24"/>
      <c r="DF58" s="24"/>
    </row>
    <row r="59" spans="1:110"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0"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0"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0">
    <mergeCell ref="BD2:DA2"/>
    <mergeCell ref="CR3:DA3"/>
    <mergeCell ref="CX4:CX5"/>
    <mergeCell ref="CB4:CB5"/>
    <mergeCell ref="CA4:CA5"/>
    <mergeCell ref="CW4:CW5"/>
    <mergeCell ref="CV4:CV5"/>
    <mergeCell ref="DF4:DF5"/>
    <mergeCell ref="AT4:AT5"/>
    <mergeCell ref="AU4:AU5"/>
    <mergeCell ref="AX4:AX5"/>
    <mergeCell ref="AY4:AY5"/>
    <mergeCell ref="AZ4:AZ5"/>
    <mergeCell ref="DB4:DB5"/>
    <mergeCell ref="DC4:DC5"/>
    <mergeCell ref="AV4:AV5"/>
    <mergeCell ref="AW4:AW5"/>
    <mergeCell ref="DD4:DD5"/>
    <mergeCell ref="BA4:BA5"/>
    <mergeCell ref="BB4:BB5"/>
    <mergeCell ref="BC4:BC5"/>
    <mergeCell ref="DE4:DE5"/>
    <mergeCell ref="BP4:BP5"/>
    <mergeCell ref="BO4:BO5"/>
    <mergeCell ref="CF4:CF5"/>
    <mergeCell ref="DA4:DA5"/>
    <mergeCell ref="AH4:AH5"/>
    <mergeCell ref="AD4:AD5"/>
    <mergeCell ref="AJ4:AJ5"/>
    <mergeCell ref="AE4:AE5"/>
    <mergeCell ref="AS4:AS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AG4:AG5"/>
    <mergeCell ref="CM4:CM5"/>
    <mergeCell ref="CO4:CO5"/>
    <mergeCell ref="CE4:CE5"/>
    <mergeCell ref="CC4:CC5"/>
    <mergeCell ref="CN4:CN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CY4:CY5"/>
    <mergeCell ref="CZ4:CZ5"/>
    <mergeCell ref="AR3:BC3"/>
    <mergeCell ref="CR4:CR5"/>
    <mergeCell ref="CL4:CL5"/>
    <mergeCell ref="CK4:CK5"/>
    <mergeCell ref="BV4:BV5"/>
    <mergeCell ref="BT4:BT5"/>
    <mergeCell ref="BS4:BS5"/>
    <mergeCell ref="BQ4:BQ5"/>
    <mergeCell ref="BR4:BR5"/>
    <mergeCell ref="BU4:BU5"/>
    <mergeCell ref="CQ4:CQ5"/>
    <mergeCell ref="CJ4:CJ5"/>
    <mergeCell ref="CD4:CD5"/>
    <mergeCell ref="CU4:CU5"/>
    <mergeCell ref="CT4:CT5"/>
    <mergeCell ref="CS4:CS5"/>
    <mergeCell ref="BD4:BD5"/>
    <mergeCell ref="BZ4:BZ5"/>
    <mergeCell ref="BY4:BY5"/>
    <mergeCell ref="BJ4:BJ5"/>
    <mergeCell ref="CI4:CI5"/>
    <mergeCell ref="CH4:CH5"/>
    <mergeCell ref="AR4:AR5"/>
    <mergeCell ref="BD3:CQ3"/>
    <mergeCell ref="BW4:BW5"/>
    <mergeCell ref="AL4:AL5"/>
    <mergeCell ref="AK4:AK5"/>
    <mergeCell ref="AI4:AI5"/>
    <mergeCell ref="AQ4:AQ5"/>
    <mergeCell ref="AM4:AM5"/>
    <mergeCell ref="AO4:AO5"/>
    <mergeCell ref="AP4:AP5"/>
    <mergeCell ref="BI4:BI5"/>
    <mergeCell ref="BH4:BH5"/>
    <mergeCell ref="BE4:BE5"/>
    <mergeCell ref="BF4:BF5"/>
    <mergeCell ref="BK4:BK5"/>
    <mergeCell ref="BN4:BN5"/>
    <mergeCell ref="BM4:BM5"/>
    <mergeCell ref="BG4:BG5"/>
    <mergeCell ref="BL4:BL5"/>
    <mergeCell ref="BX4:BX5"/>
    <mergeCell ref="CG4:CG5"/>
    <mergeCell ref="CP4:CP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5" id="{74832A3D-3E58-4A3A-9E33-9D86EFCB7C6E}">
            <xm:f>LEN(TRIM('搬送困難事案（今回）'!BP6))=0</xm:f>
            <x14:dxf>
              <fill>
                <patternFill>
                  <bgColor rgb="FFFFFF00"/>
                </patternFill>
              </fill>
            </x14:dxf>
          </x14:cfRule>
          <xm:sqref>BP6:CX57 DA6:DA9 DA11:DA57</xm:sqref>
        </x14:conditionalFormatting>
        <x14:conditionalFormatting xmlns:xm="http://schemas.microsoft.com/office/excel/2006/main">
          <x14:cfRule type="containsBlanks" priority="24" id="{74832A3D-3E58-4A3A-9E33-9D86EFCB7C6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1" id="{1456D4A3-D80F-41C3-B33C-BFC0F10DC75A}">
            <xm:f>LEN(TRIM('うちコロナ疑い事案（今回）'!DA10))=0</xm:f>
            <x14:dxf>
              <fill>
                <patternFill>
                  <bgColor rgb="FFFFFF00"/>
                </patternFill>
              </fill>
            </x14:dxf>
          </x14:cfRule>
          <xm:sqref>DA10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2023-03-14T01:32:23Z</cp:lastPrinted>
  <dcterms:created xsi:type="dcterms:W3CDTF">2020-05-05T13:26:16Z</dcterms:created>
  <dcterms:modified xsi:type="dcterms:W3CDTF">2023-03-14T02:52:49Z</dcterms:modified>
</cp:coreProperties>
</file>